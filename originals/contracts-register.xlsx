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mc:AlternateContent xmlns:mc="http://schemas.openxmlformats.org/markup-compatibility/2006">
    <mc:Choice Requires="x15">
      <x15ac:absPath xmlns:x15ac="http://schemas.microsoft.com/office/spreadsheetml/2010/11/ac" url="https://bregaoil-my.sharepoint.com/personal/h_daass_brega_com_ly/Documents/Desktop/الإدارة العامة للمبيعات/"/>
    </mc:Choice>
  </mc:AlternateContent>
  <xr:revisionPtr revIDLastSave="1" documentId="8_{7EFFCD38-7CB2-4A62-8BF6-2F9732DD2487}" xr6:coauthVersionLast="47" xr6:coauthVersionMax="47" xr10:uidLastSave="{576E70F1-00E3-480E-8C1B-9EFFDC8EF703}"/>
  <bookViews>
    <workbookView xWindow="-108" yWindow="-108" windowWidth="23256" windowHeight="12456" tabRatio="500" activeTab="1" xr2:uid="{00000000-000D-0000-FFFF-FFFF00000000}"/>
  </bookViews>
  <sheets>
    <sheet name="لوحة التحكم" sheetId="1" r:id="rId1"/>
    <sheet name="العقود" sheetId="2" r:id="rId2"/>
    <sheet name="الشركات" sheetId="3" r:id="rId3"/>
    <sheet name="التمديدات" sheetId="4" r:id="rId4"/>
    <sheet name="المراسلات" sheetId="5" r:id="rId5"/>
    <sheet name="بطاقة العقد" sheetId="6" r:id="rId6"/>
    <sheet name="القوائم والإعدادات" sheetId="7" r:id="rId7"/>
    <sheet name="تعليمات" sheetId="8" r:id="rId8"/>
  </sheets>
  <definedNames>
    <definedName name="_xlnm._FilterDatabase" localSheetId="1" hidden="1">العقود!$A$1:$X$501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38" i="2" l="1"/>
  <c r="K39" i="2"/>
  <c r="K40" i="2"/>
  <c r="J31" i="2"/>
  <c r="K17" i="2"/>
  <c r="K18" i="2"/>
  <c r="J17" i="2"/>
  <c r="J18" i="2"/>
  <c r="S18" i="2" s="1"/>
  <c r="J19" i="2"/>
  <c r="R19" i="2" s="1"/>
  <c r="J20" i="2"/>
  <c r="J21" i="2"/>
  <c r="R21" i="2" s="1"/>
  <c r="J22" i="2"/>
  <c r="R22" i="2" s="1"/>
  <c r="J23" i="2"/>
  <c r="S23" i="2" s="1"/>
  <c r="J24" i="2"/>
  <c r="S24" i="2" s="1"/>
  <c r="J25" i="2"/>
  <c r="S25" i="2" s="1"/>
  <c r="J26" i="2"/>
  <c r="S26" i="2" s="1"/>
  <c r="J27" i="2"/>
  <c r="R27" i="2" s="1"/>
  <c r="J28" i="2"/>
  <c r="S28" i="2" s="1"/>
  <c r="J29" i="2"/>
  <c r="S29" i="2" s="1"/>
  <c r="X2" i="2"/>
  <c r="U2" i="2"/>
  <c r="K2" i="2"/>
  <c r="J2" i="2"/>
  <c r="S2" i="2" s="1"/>
  <c r="J5" i="2"/>
  <c r="R5" i="2" s="1"/>
  <c r="B13" i="6" s="1"/>
  <c r="J7" i="2"/>
  <c r="S7" i="2" s="1"/>
  <c r="C45" i="6"/>
  <c r="B22" i="6"/>
  <c r="B21" i="6"/>
  <c r="B20" i="6"/>
  <c r="B19" i="6"/>
  <c r="B18" i="6"/>
  <c r="B17" i="6"/>
  <c r="B16" i="6"/>
  <c r="B15" i="6"/>
  <c r="B9" i="6"/>
  <c r="B8" i="6"/>
  <c r="B7" i="6"/>
  <c r="B6" i="6"/>
  <c r="B5" i="6"/>
  <c r="B4" i="6"/>
  <c r="B3" i="6"/>
  <c r="F301" i="5"/>
  <c r="F300" i="5"/>
  <c r="F299" i="5"/>
  <c r="F298" i="5"/>
  <c r="F297" i="5"/>
  <c r="F296" i="5"/>
  <c r="F295" i="5"/>
  <c r="F294" i="5"/>
  <c r="F293" i="5"/>
  <c r="F292" i="5"/>
  <c r="F291" i="5"/>
  <c r="F290" i="5"/>
  <c r="F289" i="5"/>
  <c r="F288" i="5"/>
  <c r="F287" i="5"/>
  <c r="F286" i="5"/>
  <c r="F285" i="5"/>
  <c r="F284" i="5"/>
  <c r="F283" i="5"/>
  <c r="F282" i="5"/>
  <c r="F281" i="5"/>
  <c r="F280" i="5"/>
  <c r="F279" i="5"/>
  <c r="F278" i="5"/>
  <c r="F277" i="5"/>
  <c r="F276" i="5"/>
  <c r="F275" i="5"/>
  <c r="F274" i="5"/>
  <c r="F273" i="5"/>
  <c r="F272" i="5"/>
  <c r="F271" i="5"/>
  <c r="F270" i="5"/>
  <c r="F269" i="5"/>
  <c r="F268" i="5"/>
  <c r="F267" i="5"/>
  <c r="F266" i="5"/>
  <c r="F265" i="5"/>
  <c r="F264" i="5"/>
  <c r="F263" i="5"/>
  <c r="F262" i="5"/>
  <c r="F261" i="5"/>
  <c r="F260" i="5"/>
  <c r="F259" i="5"/>
  <c r="F258" i="5"/>
  <c r="F257" i="5"/>
  <c r="F256" i="5"/>
  <c r="F255" i="5"/>
  <c r="F254" i="5"/>
  <c r="F253" i="5"/>
  <c r="F252" i="5"/>
  <c r="F251" i="5"/>
  <c r="F250" i="5"/>
  <c r="F249" i="5"/>
  <c r="F248" i="5"/>
  <c r="F247" i="5"/>
  <c r="F246" i="5"/>
  <c r="F245" i="5"/>
  <c r="F244" i="5"/>
  <c r="F243" i="5"/>
  <c r="F242" i="5"/>
  <c r="F241" i="5"/>
  <c r="F240" i="5"/>
  <c r="F239" i="5"/>
  <c r="F238" i="5"/>
  <c r="F237" i="5"/>
  <c r="F236" i="5"/>
  <c r="F235" i="5"/>
  <c r="F234" i="5"/>
  <c r="F233" i="5"/>
  <c r="F232" i="5"/>
  <c r="F231" i="5"/>
  <c r="F230" i="5"/>
  <c r="F229" i="5"/>
  <c r="F228" i="5"/>
  <c r="F227" i="5"/>
  <c r="F226" i="5"/>
  <c r="F225" i="5"/>
  <c r="F224" i="5"/>
  <c r="F223" i="5"/>
  <c r="F222" i="5"/>
  <c r="F221" i="5"/>
  <c r="F220" i="5"/>
  <c r="F219" i="5"/>
  <c r="F218" i="5"/>
  <c r="F217" i="5"/>
  <c r="F216" i="5"/>
  <c r="F215" i="5"/>
  <c r="F214" i="5"/>
  <c r="F213" i="5"/>
  <c r="F212" i="5"/>
  <c r="F211" i="5"/>
  <c r="F210" i="5"/>
  <c r="F209" i="5"/>
  <c r="F208" i="5"/>
  <c r="F207" i="5"/>
  <c r="F206" i="5"/>
  <c r="F205" i="5"/>
  <c r="F204" i="5"/>
  <c r="F203" i="5"/>
  <c r="F202" i="5"/>
  <c r="F201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179" i="5"/>
  <c r="F178" i="5"/>
  <c r="F177" i="5"/>
  <c r="F176" i="5"/>
  <c r="F175" i="5"/>
  <c r="F174" i="5"/>
  <c r="F173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B46" i="6" s="1"/>
  <c r="F20" i="5"/>
  <c r="F19" i="5"/>
  <c r="F18" i="5"/>
  <c r="F17" i="5"/>
  <c r="F16" i="5"/>
  <c r="F15" i="5"/>
  <c r="F14" i="5"/>
  <c r="F13" i="5"/>
  <c r="F12" i="5"/>
  <c r="C39" i="6" s="1"/>
  <c r="F11" i="5"/>
  <c r="F10" i="5"/>
  <c r="F9" i="5"/>
  <c r="F8" i="5"/>
  <c r="F7" i="5"/>
  <c r="F6" i="5"/>
  <c r="F5" i="5"/>
  <c r="F4" i="5"/>
  <c r="F3" i="5"/>
  <c r="F2" i="5"/>
  <c r="C46" i="6" s="1"/>
  <c r="F301" i="4"/>
  <c r="F300" i="4"/>
  <c r="F299" i="4"/>
  <c r="F298" i="4"/>
  <c r="F297" i="4"/>
  <c r="F296" i="4"/>
  <c r="F295" i="4"/>
  <c r="F294" i="4"/>
  <c r="F293" i="4"/>
  <c r="F292" i="4"/>
  <c r="F291" i="4"/>
  <c r="F290" i="4"/>
  <c r="F289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F270" i="4"/>
  <c r="F269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A30" i="6" s="1"/>
  <c r="F11" i="4"/>
  <c r="F10" i="4"/>
  <c r="F9" i="4"/>
  <c r="F8" i="4"/>
  <c r="F7" i="4"/>
  <c r="B32" i="6" s="1"/>
  <c r="F6" i="4"/>
  <c r="F5" i="4"/>
  <c r="F4" i="4"/>
  <c r="F3" i="4"/>
  <c r="F2" i="4"/>
  <c r="B30" i="6" s="1"/>
  <c r="F101" i="3"/>
  <c r="E101" i="3"/>
  <c r="F100" i="3"/>
  <c r="E100" i="3"/>
  <c r="F99" i="3"/>
  <c r="E99" i="3"/>
  <c r="F98" i="3"/>
  <c r="E98" i="3"/>
  <c r="F97" i="3"/>
  <c r="E97" i="3"/>
  <c r="F96" i="3"/>
  <c r="E96" i="3"/>
  <c r="F95" i="3"/>
  <c r="E95" i="3"/>
  <c r="F94" i="3"/>
  <c r="E94" i="3"/>
  <c r="F93" i="3"/>
  <c r="E93" i="3"/>
  <c r="F92" i="3"/>
  <c r="E92" i="3"/>
  <c r="F91" i="3"/>
  <c r="E91" i="3"/>
  <c r="F90" i="3"/>
  <c r="E90" i="3"/>
  <c r="F89" i="3"/>
  <c r="E89" i="3"/>
  <c r="F88" i="3"/>
  <c r="E88" i="3"/>
  <c r="F87" i="3"/>
  <c r="E87" i="3"/>
  <c r="F86" i="3"/>
  <c r="E86" i="3"/>
  <c r="F85" i="3"/>
  <c r="E85" i="3"/>
  <c r="F84" i="3"/>
  <c r="E84" i="3"/>
  <c r="F83" i="3"/>
  <c r="E83" i="3"/>
  <c r="F82" i="3"/>
  <c r="E82" i="3"/>
  <c r="F81" i="3"/>
  <c r="E81" i="3"/>
  <c r="F80" i="3"/>
  <c r="E80" i="3"/>
  <c r="F79" i="3"/>
  <c r="E79" i="3"/>
  <c r="F78" i="3"/>
  <c r="E78" i="3"/>
  <c r="F77" i="3"/>
  <c r="E77" i="3"/>
  <c r="F76" i="3"/>
  <c r="E76" i="3"/>
  <c r="F75" i="3"/>
  <c r="E75" i="3"/>
  <c r="F74" i="3"/>
  <c r="E74" i="3"/>
  <c r="F73" i="3"/>
  <c r="E73" i="3"/>
  <c r="F72" i="3"/>
  <c r="E72" i="3"/>
  <c r="F71" i="3"/>
  <c r="E71" i="3"/>
  <c r="F70" i="3"/>
  <c r="E70" i="3"/>
  <c r="F69" i="3"/>
  <c r="E69" i="3"/>
  <c r="F68" i="3"/>
  <c r="E68" i="3"/>
  <c r="F67" i="3"/>
  <c r="E67" i="3"/>
  <c r="F66" i="3"/>
  <c r="E66" i="3"/>
  <c r="F65" i="3"/>
  <c r="E65" i="3"/>
  <c r="F64" i="3"/>
  <c r="E64" i="3"/>
  <c r="F63" i="3"/>
  <c r="E63" i="3"/>
  <c r="F62" i="3"/>
  <c r="E62" i="3"/>
  <c r="F61" i="3"/>
  <c r="E61" i="3"/>
  <c r="F60" i="3"/>
  <c r="E60" i="3"/>
  <c r="F59" i="3"/>
  <c r="E59" i="3"/>
  <c r="F58" i="3"/>
  <c r="E58" i="3"/>
  <c r="F57" i="3"/>
  <c r="E57" i="3"/>
  <c r="F56" i="3"/>
  <c r="E56" i="3"/>
  <c r="F55" i="3"/>
  <c r="E55" i="3"/>
  <c r="F54" i="3"/>
  <c r="E54" i="3"/>
  <c r="F53" i="3"/>
  <c r="E53" i="3"/>
  <c r="F52" i="3"/>
  <c r="E52" i="3"/>
  <c r="F51" i="3"/>
  <c r="E51" i="3"/>
  <c r="F50" i="3"/>
  <c r="E50" i="3"/>
  <c r="F49" i="3"/>
  <c r="E49" i="3"/>
  <c r="F48" i="3"/>
  <c r="E48" i="3"/>
  <c r="F47" i="3"/>
  <c r="E47" i="3"/>
  <c r="F46" i="3"/>
  <c r="E46" i="3"/>
  <c r="F45" i="3"/>
  <c r="E45" i="3"/>
  <c r="F44" i="3"/>
  <c r="E44" i="3"/>
  <c r="F43" i="3"/>
  <c r="E43" i="3"/>
  <c r="F42" i="3"/>
  <c r="E42" i="3"/>
  <c r="F41" i="3"/>
  <c r="E41" i="3"/>
  <c r="F40" i="3"/>
  <c r="E40" i="3"/>
  <c r="F39" i="3"/>
  <c r="E39" i="3"/>
  <c r="F38" i="3"/>
  <c r="E38" i="3"/>
  <c r="F37" i="3"/>
  <c r="E37" i="3"/>
  <c r="F36" i="3"/>
  <c r="E36" i="3"/>
  <c r="F35" i="3"/>
  <c r="E35" i="3"/>
  <c r="F34" i="3"/>
  <c r="E34" i="3"/>
  <c r="F33" i="3"/>
  <c r="E33" i="3"/>
  <c r="F32" i="3"/>
  <c r="E32" i="3"/>
  <c r="F31" i="3"/>
  <c r="E31" i="3"/>
  <c r="F30" i="3"/>
  <c r="E30" i="3"/>
  <c r="F29" i="3"/>
  <c r="E29" i="3"/>
  <c r="F28" i="3"/>
  <c r="E28" i="3"/>
  <c r="F27" i="3"/>
  <c r="E27" i="3"/>
  <c r="F26" i="3"/>
  <c r="E26" i="3"/>
  <c r="F25" i="3"/>
  <c r="E25" i="3"/>
  <c r="F24" i="3"/>
  <c r="E24" i="3"/>
  <c r="F23" i="3"/>
  <c r="E23" i="3"/>
  <c r="F22" i="3"/>
  <c r="E22" i="3"/>
  <c r="F21" i="3"/>
  <c r="E21" i="3"/>
  <c r="F20" i="3"/>
  <c r="E20" i="3"/>
  <c r="F19" i="3"/>
  <c r="E19" i="3"/>
  <c r="F18" i="3"/>
  <c r="E18" i="3"/>
  <c r="F17" i="3"/>
  <c r="E17" i="3"/>
  <c r="F16" i="3"/>
  <c r="E16" i="3"/>
  <c r="F15" i="3"/>
  <c r="E15" i="3"/>
  <c r="F14" i="3"/>
  <c r="E14" i="3"/>
  <c r="F13" i="3"/>
  <c r="E13" i="3"/>
  <c r="F12" i="3"/>
  <c r="E12" i="3"/>
  <c r="F11" i="3"/>
  <c r="E11" i="3"/>
  <c r="F10" i="3"/>
  <c r="E10" i="3"/>
  <c r="F9" i="3"/>
  <c r="E9" i="3"/>
  <c r="F8" i="3"/>
  <c r="E8" i="3"/>
  <c r="E7" i="3"/>
  <c r="E6" i="3"/>
  <c r="E5" i="3"/>
  <c r="E4" i="3"/>
  <c r="E3" i="3"/>
  <c r="E2" i="3"/>
  <c r="X501" i="2"/>
  <c r="U501" i="2"/>
  <c r="S501" i="2"/>
  <c r="R501" i="2"/>
  <c r="T501" i="2" s="1"/>
  <c r="K501" i="2"/>
  <c r="J501" i="2"/>
  <c r="X500" i="2"/>
  <c r="U500" i="2"/>
  <c r="S500" i="2"/>
  <c r="R500" i="2"/>
  <c r="T500" i="2" s="1"/>
  <c r="K500" i="2"/>
  <c r="J500" i="2"/>
  <c r="X499" i="2"/>
  <c r="U499" i="2"/>
  <c r="S499" i="2"/>
  <c r="R499" i="2"/>
  <c r="T499" i="2" s="1"/>
  <c r="K499" i="2"/>
  <c r="J499" i="2"/>
  <c r="X498" i="2"/>
  <c r="U498" i="2"/>
  <c r="S498" i="2"/>
  <c r="R498" i="2"/>
  <c r="T498" i="2" s="1"/>
  <c r="K498" i="2"/>
  <c r="J498" i="2"/>
  <c r="X497" i="2"/>
  <c r="U497" i="2"/>
  <c r="S497" i="2"/>
  <c r="R497" i="2"/>
  <c r="T497" i="2" s="1"/>
  <c r="K497" i="2"/>
  <c r="J497" i="2"/>
  <c r="X496" i="2"/>
  <c r="U496" i="2"/>
  <c r="S496" i="2"/>
  <c r="R496" i="2"/>
  <c r="T496" i="2" s="1"/>
  <c r="K496" i="2"/>
  <c r="J496" i="2"/>
  <c r="X495" i="2"/>
  <c r="U495" i="2"/>
  <c r="S495" i="2"/>
  <c r="R495" i="2"/>
  <c r="T495" i="2" s="1"/>
  <c r="K495" i="2"/>
  <c r="J495" i="2"/>
  <c r="X494" i="2"/>
  <c r="U494" i="2"/>
  <c r="S494" i="2"/>
  <c r="R494" i="2"/>
  <c r="T494" i="2" s="1"/>
  <c r="K494" i="2"/>
  <c r="J494" i="2"/>
  <c r="X493" i="2"/>
  <c r="U493" i="2"/>
  <c r="S493" i="2"/>
  <c r="R493" i="2"/>
  <c r="T493" i="2" s="1"/>
  <c r="K493" i="2"/>
  <c r="J493" i="2"/>
  <c r="X492" i="2"/>
  <c r="U492" i="2"/>
  <c r="S492" i="2"/>
  <c r="R492" i="2"/>
  <c r="T492" i="2" s="1"/>
  <c r="K492" i="2"/>
  <c r="J492" i="2"/>
  <c r="X491" i="2"/>
  <c r="U491" i="2"/>
  <c r="S491" i="2"/>
  <c r="R491" i="2"/>
  <c r="T491" i="2" s="1"/>
  <c r="K491" i="2"/>
  <c r="J491" i="2"/>
  <c r="X490" i="2"/>
  <c r="U490" i="2"/>
  <c r="S490" i="2"/>
  <c r="R490" i="2"/>
  <c r="T490" i="2" s="1"/>
  <c r="K490" i="2"/>
  <c r="J490" i="2"/>
  <c r="X489" i="2"/>
  <c r="U489" i="2"/>
  <c r="S489" i="2"/>
  <c r="R489" i="2"/>
  <c r="T489" i="2" s="1"/>
  <c r="K489" i="2"/>
  <c r="J489" i="2"/>
  <c r="X488" i="2"/>
  <c r="U488" i="2"/>
  <c r="S488" i="2"/>
  <c r="R488" i="2"/>
  <c r="T488" i="2" s="1"/>
  <c r="K488" i="2"/>
  <c r="J488" i="2"/>
  <c r="X487" i="2"/>
  <c r="U487" i="2"/>
  <c r="S487" i="2"/>
  <c r="R487" i="2"/>
  <c r="T487" i="2" s="1"/>
  <c r="K487" i="2"/>
  <c r="J487" i="2"/>
  <c r="X486" i="2"/>
  <c r="U486" i="2"/>
  <c r="S486" i="2"/>
  <c r="R486" i="2"/>
  <c r="T486" i="2" s="1"/>
  <c r="K486" i="2"/>
  <c r="J486" i="2"/>
  <c r="X485" i="2"/>
  <c r="U485" i="2"/>
  <c r="S485" i="2"/>
  <c r="R485" i="2"/>
  <c r="T485" i="2" s="1"/>
  <c r="K485" i="2"/>
  <c r="J485" i="2"/>
  <c r="X484" i="2"/>
  <c r="U484" i="2"/>
  <c r="S484" i="2"/>
  <c r="R484" i="2"/>
  <c r="T484" i="2" s="1"/>
  <c r="K484" i="2"/>
  <c r="J484" i="2"/>
  <c r="X483" i="2"/>
  <c r="U483" i="2"/>
  <c r="S483" i="2"/>
  <c r="R483" i="2"/>
  <c r="T483" i="2" s="1"/>
  <c r="K483" i="2"/>
  <c r="J483" i="2"/>
  <c r="X482" i="2"/>
  <c r="U482" i="2"/>
  <c r="S482" i="2"/>
  <c r="R482" i="2"/>
  <c r="T482" i="2" s="1"/>
  <c r="K482" i="2"/>
  <c r="J482" i="2"/>
  <c r="X481" i="2"/>
  <c r="U481" i="2"/>
  <c r="S481" i="2"/>
  <c r="R481" i="2"/>
  <c r="T481" i="2" s="1"/>
  <c r="K481" i="2"/>
  <c r="J481" i="2"/>
  <c r="X480" i="2"/>
  <c r="U480" i="2"/>
  <c r="S480" i="2"/>
  <c r="R480" i="2"/>
  <c r="T480" i="2" s="1"/>
  <c r="K480" i="2"/>
  <c r="J480" i="2"/>
  <c r="X479" i="2"/>
  <c r="U479" i="2"/>
  <c r="S479" i="2"/>
  <c r="R479" i="2"/>
  <c r="T479" i="2" s="1"/>
  <c r="K479" i="2"/>
  <c r="J479" i="2"/>
  <c r="X478" i="2"/>
  <c r="U478" i="2"/>
  <c r="S478" i="2"/>
  <c r="R478" i="2"/>
  <c r="T478" i="2" s="1"/>
  <c r="K478" i="2"/>
  <c r="J478" i="2"/>
  <c r="X477" i="2"/>
  <c r="U477" i="2"/>
  <c r="S477" i="2"/>
  <c r="R477" i="2"/>
  <c r="T477" i="2" s="1"/>
  <c r="K477" i="2"/>
  <c r="J477" i="2"/>
  <c r="X476" i="2"/>
  <c r="U476" i="2"/>
  <c r="S476" i="2"/>
  <c r="R476" i="2"/>
  <c r="T476" i="2" s="1"/>
  <c r="K476" i="2"/>
  <c r="J476" i="2"/>
  <c r="X475" i="2"/>
  <c r="U475" i="2"/>
  <c r="S475" i="2"/>
  <c r="R475" i="2"/>
  <c r="T475" i="2" s="1"/>
  <c r="K475" i="2"/>
  <c r="J475" i="2"/>
  <c r="X474" i="2"/>
  <c r="U474" i="2"/>
  <c r="S474" i="2"/>
  <c r="R474" i="2"/>
  <c r="T474" i="2" s="1"/>
  <c r="K474" i="2"/>
  <c r="J474" i="2"/>
  <c r="X473" i="2"/>
  <c r="U473" i="2"/>
  <c r="S473" i="2"/>
  <c r="R473" i="2"/>
  <c r="T473" i="2" s="1"/>
  <c r="K473" i="2"/>
  <c r="J473" i="2"/>
  <c r="X472" i="2"/>
  <c r="U472" i="2"/>
  <c r="S472" i="2"/>
  <c r="R472" i="2"/>
  <c r="T472" i="2" s="1"/>
  <c r="K472" i="2"/>
  <c r="J472" i="2"/>
  <c r="X471" i="2"/>
  <c r="U471" i="2"/>
  <c r="S471" i="2"/>
  <c r="R471" i="2"/>
  <c r="T471" i="2" s="1"/>
  <c r="K471" i="2"/>
  <c r="J471" i="2"/>
  <c r="X470" i="2"/>
  <c r="U470" i="2"/>
  <c r="S470" i="2"/>
  <c r="R470" i="2"/>
  <c r="T470" i="2" s="1"/>
  <c r="K470" i="2"/>
  <c r="J470" i="2"/>
  <c r="X469" i="2"/>
  <c r="U469" i="2"/>
  <c r="S469" i="2"/>
  <c r="R469" i="2"/>
  <c r="T469" i="2" s="1"/>
  <c r="K469" i="2"/>
  <c r="J469" i="2"/>
  <c r="X468" i="2"/>
  <c r="U468" i="2"/>
  <c r="S468" i="2"/>
  <c r="R468" i="2"/>
  <c r="T468" i="2" s="1"/>
  <c r="K468" i="2"/>
  <c r="J468" i="2"/>
  <c r="X467" i="2"/>
  <c r="U467" i="2"/>
  <c r="S467" i="2"/>
  <c r="R467" i="2"/>
  <c r="T467" i="2" s="1"/>
  <c r="K467" i="2"/>
  <c r="J467" i="2"/>
  <c r="X466" i="2"/>
  <c r="U466" i="2"/>
  <c r="S466" i="2"/>
  <c r="R466" i="2"/>
  <c r="T466" i="2" s="1"/>
  <c r="K466" i="2"/>
  <c r="J466" i="2"/>
  <c r="X465" i="2"/>
  <c r="U465" i="2"/>
  <c r="S465" i="2"/>
  <c r="R465" i="2"/>
  <c r="T465" i="2" s="1"/>
  <c r="K465" i="2"/>
  <c r="J465" i="2"/>
  <c r="X464" i="2"/>
  <c r="U464" i="2"/>
  <c r="S464" i="2"/>
  <c r="R464" i="2"/>
  <c r="T464" i="2" s="1"/>
  <c r="K464" i="2"/>
  <c r="J464" i="2"/>
  <c r="X463" i="2"/>
  <c r="U463" i="2"/>
  <c r="S463" i="2"/>
  <c r="R463" i="2"/>
  <c r="T463" i="2" s="1"/>
  <c r="K463" i="2"/>
  <c r="J463" i="2"/>
  <c r="X462" i="2"/>
  <c r="U462" i="2"/>
  <c r="S462" i="2"/>
  <c r="R462" i="2"/>
  <c r="T462" i="2" s="1"/>
  <c r="K462" i="2"/>
  <c r="J462" i="2"/>
  <c r="X461" i="2"/>
  <c r="U461" i="2"/>
  <c r="S461" i="2"/>
  <c r="R461" i="2"/>
  <c r="T461" i="2" s="1"/>
  <c r="K461" i="2"/>
  <c r="J461" i="2"/>
  <c r="X460" i="2"/>
  <c r="U460" i="2"/>
  <c r="S460" i="2"/>
  <c r="R460" i="2"/>
  <c r="T460" i="2" s="1"/>
  <c r="K460" i="2"/>
  <c r="J460" i="2"/>
  <c r="X459" i="2"/>
  <c r="U459" i="2"/>
  <c r="S459" i="2"/>
  <c r="R459" i="2"/>
  <c r="T459" i="2" s="1"/>
  <c r="K459" i="2"/>
  <c r="J459" i="2"/>
  <c r="X458" i="2"/>
  <c r="U458" i="2"/>
  <c r="S458" i="2"/>
  <c r="R458" i="2"/>
  <c r="T458" i="2" s="1"/>
  <c r="K458" i="2"/>
  <c r="J458" i="2"/>
  <c r="X457" i="2"/>
  <c r="U457" i="2"/>
  <c r="S457" i="2"/>
  <c r="R457" i="2"/>
  <c r="T457" i="2" s="1"/>
  <c r="K457" i="2"/>
  <c r="J457" i="2"/>
  <c r="X456" i="2"/>
  <c r="U456" i="2"/>
  <c r="S456" i="2"/>
  <c r="R456" i="2"/>
  <c r="T456" i="2" s="1"/>
  <c r="K456" i="2"/>
  <c r="J456" i="2"/>
  <c r="X455" i="2"/>
  <c r="U455" i="2"/>
  <c r="S455" i="2"/>
  <c r="R455" i="2"/>
  <c r="T455" i="2" s="1"/>
  <c r="K455" i="2"/>
  <c r="J455" i="2"/>
  <c r="X454" i="2"/>
  <c r="U454" i="2"/>
  <c r="S454" i="2"/>
  <c r="R454" i="2"/>
  <c r="T454" i="2" s="1"/>
  <c r="K454" i="2"/>
  <c r="J454" i="2"/>
  <c r="X453" i="2"/>
  <c r="U453" i="2"/>
  <c r="S453" i="2"/>
  <c r="R453" i="2"/>
  <c r="T453" i="2" s="1"/>
  <c r="K453" i="2"/>
  <c r="J453" i="2"/>
  <c r="X452" i="2"/>
  <c r="U452" i="2"/>
  <c r="S452" i="2"/>
  <c r="R452" i="2"/>
  <c r="T452" i="2" s="1"/>
  <c r="K452" i="2"/>
  <c r="J452" i="2"/>
  <c r="X451" i="2"/>
  <c r="U451" i="2"/>
  <c r="S451" i="2"/>
  <c r="R451" i="2"/>
  <c r="T451" i="2" s="1"/>
  <c r="K451" i="2"/>
  <c r="J451" i="2"/>
  <c r="X450" i="2"/>
  <c r="U450" i="2"/>
  <c r="S450" i="2"/>
  <c r="R450" i="2"/>
  <c r="T450" i="2" s="1"/>
  <c r="K450" i="2"/>
  <c r="J450" i="2"/>
  <c r="X449" i="2"/>
  <c r="U449" i="2"/>
  <c r="S449" i="2"/>
  <c r="R449" i="2"/>
  <c r="T449" i="2" s="1"/>
  <c r="K449" i="2"/>
  <c r="J449" i="2"/>
  <c r="X448" i="2"/>
  <c r="U448" i="2"/>
  <c r="S448" i="2"/>
  <c r="R448" i="2"/>
  <c r="T448" i="2" s="1"/>
  <c r="K448" i="2"/>
  <c r="J448" i="2"/>
  <c r="X447" i="2"/>
  <c r="U447" i="2"/>
  <c r="S447" i="2"/>
  <c r="R447" i="2"/>
  <c r="T447" i="2" s="1"/>
  <c r="K447" i="2"/>
  <c r="J447" i="2"/>
  <c r="X446" i="2"/>
  <c r="U446" i="2"/>
  <c r="S446" i="2"/>
  <c r="R446" i="2"/>
  <c r="T446" i="2" s="1"/>
  <c r="K446" i="2"/>
  <c r="J446" i="2"/>
  <c r="X445" i="2"/>
  <c r="U445" i="2"/>
  <c r="S445" i="2"/>
  <c r="R445" i="2"/>
  <c r="T445" i="2" s="1"/>
  <c r="K445" i="2"/>
  <c r="J445" i="2"/>
  <c r="X444" i="2"/>
  <c r="U444" i="2"/>
  <c r="S444" i="2"/>
  <c r="R444" i="2"/>
  <c r="T444" i="2" s="1"/>
  <c r="K444" i="2"/>
  <c r="J444" i="2"/>
  <c r="X443" i="2"/>
  <c r="U443" i="2"/>
  <c r="S443" i="2"/>
  <c r="R443" i="2"/>
  <c r="T443" i="2" s="1"/>
  <c r="K443" i="2"/>
  <c r="J443" i="2"/>
  <c r="X442" i="2"/>
  <c r="U442" i="2"/>
  <c r="S442" i="2"/>
  <c r="R442" i="2"/>
  <c r="T442" i="2" s="1"/>
  <c r="K442" i="2"/>
  <c r="J442" i="2"/>
  <c r="X441" i="2"/>
  <c r="U441" i="2"/>
  <c r="S441" i="2"/>
  <c r="R441" i="2"/>
  <c r="T441" i="2" s="1"/>
  <c r="K441" i="2"/>
  <c r="J441" i="2"/>
  <c r="X440" i="2"/>
  <c r="U440" i="2"/>
  <c r="S440" i="2"/>
  <c r="R440" i="2"/>
  <c r="T440" i="2" s="1"/>
  <c r="K440" i="2"/>
  <c r="J440" i="2"/>
  <c r="X439" i="2"/>
  <c r="U439" i="2"/>
  <c r="S439" i="2"/>
  <c r="R439" i="2"/>
  <c r="T439" i="2" s="1"/>
  <c r="K439" i="2"/>
  <c r="J439" i="2"/>
  <c r="X438" i="2"/>
  <c r="U438" i="2"/>
  <c r="S438" i="2"/>
  <c r="R438" i="2"/>
  <c r="T438" i="2" s="1"/>
  <c r="K438" i="2"/>
  <c r="J438" i="2"/>
  <c r="X437" i="2"/>
  <c r="U437" i="2"/>
  <c r="S437" i="2"/>
  <c r="R437" i="2"/>
  <c r="T437" i="2" s="1"/>
  <c r="K437" i="2"/>
  <c r="J437" i="2"/>
  <c r="X436" i="2"/>
  <c r="U436" i="2"/>
  <c r="S436" i="2"/>
  <c r="R436" i="2"/>
  <c r="T436" i="2" s="1"/>
  <c r="K436" i="2"/>
  <c r="J436" i="2"/>
  <c r="X435" i="2"/>
  <c r="U435" i="2"/>
  <c r="S435" i="2"/>
  <c r="R435" i="2"/>
  <c r="T435" i="2" s="1"/>
  <c r="K435" i="2"/>
  <c r="J435" i="2"/>
  <c r="X434" i="2"/>
  <c r="U434" i="2"/>
  <c r="S434" i="2"/>
  <c r="R434" i="2"/>
  <c r="T434" i="2" s="1"/>
  <c r="K434" i="2"/>
  <c r="J434" i="2"/>
  <c r="X433" i="2"/>
  <c r="U433" i="2"/>
  <c r="S433" i="2"/>
  <c r="R433" i="2"/>
  <c r="T433" i="2" s="1"/>
  <c r="K433" i="2"/>
  <c r="J433" i="2"/>
  <c r="X432" i="2"/>
  <c r="U432" i="2"/>
  <c r="S432" i="2"/>
  <c r="R432" i="2"/>
  <c r="T432" i="2" s="1"/>
  <c r="K432" i="2"/>
  <c r="J432" i="2"/>
  <c r="X431" i="2"/>
  <c r="U431" i="2"/>
  <c r="S431" i="2"/>
  <c r="R431" i="2"/>
  <c r="T431" i="2" s="1"/>
  <c r="K431" i="2"/>
  <c r="J431" i="2"/>
  <c r="X430" i="2"/>
  <c r="U430" i="2"/>
  <c r="S430" i="2"/>
  <c r="R430" i="2"/>
  <c r="T430" i="2" s="1"/>
  <c r="K430" i="2"/>
  <c r="J430" i="2"/>
  <c r="X429" i="2"/>
  <c r="U429" i="2"/>
  <c r="S429" i="2"/>
  <c r="R429" i="2"/>
  <c r="T429" i="2" s="1"/>
  <c r="K429" i="2"/>
  <c r="J429" i="2"/>
  <c r="X428" i="2"/>
  <c r="U428" i="2"/>
  <c r="S428" i="2"/>
  <c r="R428" i="2"/>
  <c r="T428" i="2" s="1"/>
  <c r="K428" i="2"/>
  <c r="J428" i="2"/>
  <c r="X427" i="2"/>
  <c r="U427" i="2"/>
  <c r="S427" i="2"/>
  <c r="R427" i="2"/>
  <c r="T427" i="2" s="1"/>
  <c r="K427" i="2"/>
  <c r="J427" i="2"/>
  <c r="X426" i="2"/>
  <c r="U426" i="2"/>
  <c r="S426" i="2"/>
  <c r="R426" i="2"/>
  <c r="T426" i="2" s="1"/>
  <c r="K426" i="2"/>
  <c r="J426" i="2"/>
  <c r="X425" i="2"/>
  <c r="U425" i="2"/>
  <c r="S425" i="2"/>
  <c r="R425" i="2"/>
  <c r="T425" i="2" s="1"/>
  <c r="K425" i="2"/>
  <c r="J425" i="2"/>
  <c r="X424" i="2"/>
  <c r="U424" i="2"/>
  <c r="S424" i="2"/>
  <c r="R424" i="2"/>
  <c r="T424" i="2" s="1"/>
  <c r="K424" i="2"/>
  <c r="J424" i="2"/>
  <c r="X423" i="2"/>
  <c r="U423" i="2"/>
  <c r="S423" i="2"/>
  <c r="R423" i="2"/>
  <c r="T423" i="2" s="1"/>
  <c r="K423" i="2"/>
  <c r="J423" i="2"/>
  <c r="X422" i="2"/>
  <c r="U422" i="2"/>
  <c r="S422" i="2"/>
  <c r="R422" i="2"/>
  <c r="T422" i="2" s="1"/>
  <c r="K422" i="2"/>
  <c r="J422" i="2"/>
  <c r="X421" i="2"/>
  <c r="U421" i="2"/>
  <c r="S421" i="2"/>
  <c r="R421" i="2"/>
  <c r="T421" i="2" s="1"/>
  <c r="K421" i="2"/>
  <c r="J421" i="2"/>
  <c r="X420" i="2"/>
  <c r="U420" i="2"/>
  <c r="S420" i="2"/>
  <c r="R420" i="2"/>
  <c r="T420" i="2" s="1"/>
  <c r="K420" i="2"/>
  <c r="J420" i="2"/>
  <c r="X419" i="2"/>
  <c r="U419" i="2"/>
  <c r="S419" i="2"/>
  <c r="R419" i="2"/>
  <c r="T419" i="2" s="1"/>
  <c r="K419" i="2"/>
  <c r="J419" i="2"/>
  <c r="X418" i="2"/>
  <c r="U418" i="2"/>
  <c r="S418" i="2"/>
  <c r="R418" i="2"/>
  <c r="T418" i="2" s="1"/>
  <c r="K418" i="2"/>
  <c r="J418" i="2"/>
  <c r="X417" i="2"/>
  <c r="U417" i="2"/>
  <c r="S417" i="2"/>
  <c r="R417" i="2"/>
  <c r="T417" i="2" s="1"/>
  <c r="K417" i="2"/>
  <c r="J417" i="2"/>
  <c r="X416" i="2"/>
  <c r="U416" i="2"/>
  <c r="S416" i="2"/>
  <c r="R416" i="2"/>
  <c r="T416" i="2" s="1"/>
  <c r="K416" i="2"/>
  <c r="J416" i="2"/>
  <c r="X415" i="2"/>
  <c r="U415" i="2"/>
  <c r="S415" i="2"/>
  <c r="R415" i="2"/>
  <c r="T415" i="2" s="1"/>
  <c r="K415" i="2"/>
  <c r="J415" i="2"/>
  <c r="X414" i="2"/>
  <c r="U414" i="2"/>
  <c r="S414" i="2"/>
  <c r="R414" i="2"/>
  <c r="T414" i="2" s="1"/>
  <c r="K414" i="2"/>
  <c r="J414" i="2"/>
  <c r="X413" i="2"/>
  <c r="U413" i="2"/>
  <c r="S413" i="2"/>
  <c r="R413" i="2"/>
  <c r="T413" i="2" s="1"/>
  <c r="K413" i="2"/>
  <c r="J413" i="2"/>
  <c r="X412" i="2"/>
  <c r="U412" i="2"/>
  <c r="S412" i="2"/>
  <c r="R412" i="2"/>
  <c r="T412" i="2" s="1"/>
  <c r="K412" i="2"/>
  <c r="J412" i="2"/>
  <c r="X411" i="2"/>
  <c r="U411" i="2"/>
  <c r="S411" i="2"/>
  <c r="R411" i="2"/>
  <c r="T411" i="2" s="1"/>
  <c r="K411" i="2"/>
  <c r="J411" i="2"/>
  <c r="X410" i="2"/>
  <c r="U410" i="2"/>
  <c r="S410" i="2"/>
  <c r="R410" i="2"/>
  <c r="T410" i="2" s="1"/>
  <c r="K410" i="2"/>
  <c r="J410" i="2"/>
  <c r="X409" i="2"/>
  <c r="U409" i="2"/>
  <c r="S409" i="2"/>
  <c r="R409" i="2"/>
  <c r="T409" i="2" s="1"/>
  <c r="K409" i="2"/>
  <c r="J409" i="2"/>
  <c r="X408" i="2"/>
  <c r="U408" i="2"/>
  <c r="S408" i="2"/>
  <c r="R408" i="2"/>
  <c r="T408" i="2" s="1"/>
  <c r="K408" i="2"/>
  <c r="J408" i="2"/>
  <c r="X407" i="2"/>
  <c r="U407" i="2"/>
  <c r="S407" i="2"/>
  <c r="R407" i="2"/>
  <c r="T407" i="2" s="1"/>
  <c r="K407" i="2"/>
  <c r="J407" i="2"/>
  <c r="X406" i="2"/>
  <c r="U406" i="2"/>
  <c r="S406" i="2"/>
  <c r="R406" i="2"/>
  <c r="T406" i="2" s="1"/>
  <c r="K406" i="2"/>
  <c r="J406" i="2"/>
  <c r="X405" i="2"/>
  <c r="U405" i="2"/>
  <c r="S405" i="2"/>
  <c r="R405" i="2"/>
  <c r="T405" i="2" s="1"/>
  <c r="K405" i="2"/>
  <c r="J405" i="2"/>
  <c r="X404" i="2"/>
  <c r="U404" i="2"/>
  <c r="S404" i="2"/>
  <c r="R404" i="2"/>
  <c r="T404" i="2" s="1"/>
  <c r="K404" i="2"/>
  <c r="J404" i="2"/>
  <c r="X403" i="2"/>
  <c r="U403" i="2"/>
  <c r="S403" i="2"/>
  <c r="R403" i="2"/>
  <c r="T403" i="2" s="1"/>
  <c r="K403" i="2"/>
  <c r="J403" i="2"/>
  <c r="X402" i="2"/>
  <c r="U402" i="2"/>
  <c r="S402" i="2"/>
  <c r="R402" i="2"/>
  <c r="T402" i="2" s="1"/>
  <c r="K402" i="2"/>
  <c r="J402" i="2"/>
  <c r="X401" i="2"/>
  <c r="U401" i="2"/>
  <c r="S401" i="2"/>
  <c r="R401" i="2"/>
  <c r="T401" i="2" s="1"/>
  <c r="K401" i="2"/>
  <c r="J401" i="2"/>
  <c r="X400" i="2"/>
  <c r="U400" i="2"/>
  <c r="S400" i="2"/>
  <c r="R400" i="2"/>
  <c r="T400" i="2" s="1"/>
  <c r="K400" i="2"/>
  <c r="J400" i="2"/>
  <c r="X399" i="2"/>
  <c r="U399" i="2"/>
  <c r="S399" i="2"/>
  <c r="R399" i="2"/>
  <c r="T399" i="2" s="1"/>
  <c r="K399" i="2"/>
  <c r="J399" i="2"/>
  <c r="X398" i="2"/>
  <c r="U398" i="2"/>
  <c r="S398" i="2"/>
  <c r="R398" i="2"/>
  <c r="T398" i="2" s="1"/>
  <c r="K398" i="2"/>
  <c r="J398" i="2"/>
  <c r="X397" i="2"/>
  <c r="U397" i="2"/>
  <c r="S397" i="2"/>
  <c r="R397" i="2"/>
  <c r="T397" i="2" s="1"/>
  <c r="K397" i="2"/>
  <c r="J397" i="2"/>
  <c r="X396" i="2"/>
  <c r="U396" i="2"/>
  <c r="S396" i="2"/>
  <c r="R396" i="2"/>
  <c r="T396" i="2" s="1"/>
  <c r="K396" i="2"/>
  <c r="J396" i="2"/>
  <c r="X395" i="2"/>
  <c r="U395" i="2"/>
  <c r="S395" i="2"/>
  <c r="R395" i="2"/>
  <c r="T395" i="2" s="1"/>
  <c r="K395" i="2"/>
  <c r="J395" i="2"/>
  <c r="X394" i="2"/>
  <c r="U394" i="2"/>
  <c r="S394" i="2"/>
  <c r="R394" i="2"/>
  <c r="T394" i="2" s="1"/>
  <c r="K394" i="2"/>
  <c r="J394" i="2"/>
  <c r="X393" i="2"/>
  <c r="U393" i="2"/>
  <c r="S393" i="2"/>
  <c r="R393" i="2"/>
  <c r="T393" i="2" s="1"/>
  <c r="K393" i="2"/>
  <c r="J393" i="2"/>
  <c r="X392" i="2"/>
  <c r="U392" i="2"/>
  <c r="S392" i="2"/>
  <c r="R392" i="2"/>
  <c r="T392" i="2" s="1"/>
  <c r="K392" i="2"/>
  <c r="J392" i="2"/>
  <c r="X391" i="2"/>
  <c r="U391" i="2"/>
  <c r="S391" i="2"/>
  <c r="R391" i="2"/>
  <c r="T391" i="2" s="1"/>
  <c r="K391" i="2"/>
  <c r="J391" i="2"/>
  <c r="X390" i="2"/>
  <c r="U390" i="2"/>
  <c r="S390" i="2"/>
  <c r="R390" i="2"/>
  <c r="T390" i="2" s="1"/>
  <c r="K390" i="2"/>
  <c r="J390" i="2"/>
  <c r="X389" i="2"/>
  <c r="U389" i="2"/>
  <c r="S389" i="2"/>
  <c r="R389" i="2"/>
  <c r="T389" i="2" s="1"/>
  <c r="K389" i="2"/>
  <c r="J389" i="2"/>
  <c r="X388" i="2"/>
  <c r="U388" i="2"/>
  <c r="S388" i="2"/>
  <c r="R388" i="2"/>
  <c r="T388" i="2" s="1"/>
  <c r="K388" i="2"/>
  <c r="J388" i="2"/>
  <c r="X387" i="2"/>
  <c r="U387" i="2"/>
  <c r="S387" i="2"/>
  <c r="R387" i="2"/>
  <c r="T387" i="2" s="1"/>
  <c r="K387" i="2"/>
  <c r="J387" i="2"/>
  <c r="X386" i="2"/>
  <c r="U386" i="2"/>
  <c r="S386" i="2"/>
  <c r="R386" i="2"/>
  <c r="T386" i="2" s="1"/>
  <c r="K386" i="2"/>
  <c r="J386" i="2"/>
  <c r="X385" i="2"/>
  <c r="U385" i="2"/>
  <c r="S385" i="2"/>
  <c r="R385" i="2"/>
  <c r="T385" i="2" s="1"/>
  <c r="K385" i="2"/>
  <c r="J385" i="2"/>
  <c r="X384" i="2"/>
  <c r="U384" i="2"/>
  <c r="S384" i="2"/>
  <c r="R384" i="2"/>
  <c r="T384" i="2" s="1"/>
  <c r="K384" i="2"/>
  <c r="J384" i="2"/>
  <c r="X383" i="2"/>
  <c r="U383" i="2"/>
  <c r="S383" i="2"/>
  <c r="R383" i="2"/>
  <c r="T383" i="2" s="1"/>
  <c r="K383" i="2"/>
  <c r="J383" i="2"/>
  <c r="X382" i="2"/>
  <c r="U382" i="2"/>
  <c r="S382" i="2"/>
  <c r="R382" i="2"/>
  <c r="T382" i="2" s="1"/>
  <c r="K382" i="2"/>
  <c r="J382" i="2"/>
  <c r="X381" i="2"/>
  <c r="U381" i="2"/>
  <c r="S381" i="2"/>
  <c r="R381" i="2"/>
  <c r="T381" i="2" s="1"/>
  <c r="K381" i="2"/>
  <c r="J381" i="2"/>
  <c r="X380" i="2"/>
  <c r="U380" i="2"/>
  <c r="S380" i="2"/>
  <c r="R380" i="2"/>
  <c r="T380" i="2" s="1"/>
  <c r="K380" i="2"/>
  <c r="J380" i="2"/>
  <c r="X379" i="2"/>
  <c r="U379" i="2"/>
  <c r="S379" i="2"/>
  <c r="R379" i="2"/>
  <c r="T379" i="2" s="1"/>
  <c r="K379" i="2"/>
  <c r="J379" i="2"/>
  <c r="X378" i="2"/>
  <c r="U378" i="2"/>
  <c r="S378" i="2"/>
  <c r="R378" i="2"/>
  <c r="T378" i="2" s="1"/>
  <c r="K378" i="2"/>
  <c r="J378" i="2"/>
  <c r="X377" i="2"/>
  <c r="U377" i="2"/>
  <c r="S377" i="2"/>
  <c r="R377" i="2"/>
  <c r="T377" i="2" s="1"/>
  <c r="K377" i="2"/>
  <c r="J377" i="2"/>
  <c r="X376" i="2"/>
  <c r="U376" i="2"/>
  <c r="S376" i="2"/>
  <c r="R376" i="2"/>
  <c r="T376" i="2" s="1"/>
  <c r="K376" i="2"/>
  <c r="J376" i="2"/>
  <c r="X375" i="2"/>
  <c r="U375" i="2"/>
  <c r="S375" i="2"/>
  <c r="R375" i="2"/>
  <c r="T375" i="2" s="1"/>
  <c r="K375" i="2"/>
  <c r="J375" i="2"/>
  <c r="X374" i="2"/>
  <c r="U374" i="2"/>
  <c r="S374" i="2"/>
  <c r="R374" i="2"/>
  <c r="T374" i="2" s="1"/>
  <c r="K374" i="2"/>
  <c r="J374" i="2"/>
  <c r="X373" i="2"/>
  <c r="U373" i="2"/>
  <c r="S373" i="2"/>
  <c r="R373" i="2"/>
  <c r="T373" i="2" s="1"/>
  <c r="K373" i="2"/>
  <c r="J373" i="2"/>
  <c r="X372" i="2"/>
  <c r="U372" i="2"/>
  <c r="S372" i="2"/>
  <c r="R372" i="2"/>
  <c r="T372" i="2" s="1"/>
  <c r="K372" i="2"/>
  <c r="J372" i="2"/>
  <c r="X371" i="2"/>
  <c r="U371" i="2"/>
  <c r="S371" i="2"/>
  <c r="R371" i="2"/>
  <c r="T371" i="2" s="1"/>
  <c r="K371" i="2"/>
  <c r="J371" i="2"/>
  <c r="X370" i="2"/>
  <c r="U370" i="2"/>
  <c r="S370" i="2"/>
  <c r="R370" i="2"/>
  <c r="T370" i="2" s="1"/>
  <c r="K370" i="2"/>
  <c r="J370" i="2"/>
  <c r="X369" i="2"/>
  <c r="U369" i="2"/>
  <c r="S369" i="2"/>
  <c r="R369" i="2"/>
  <c r="T369" i="2" s="1"/>
  <c r="K369" i="2"/>
  <c r="J369" i="2"/>
  <c r="X368" i="2"/>
  <c r="U368" i="2"/>
  <c r="S368" i="2"/>
  <c r="R368" i="2"/>
  <c r="T368" i="2" s="1"/>
  <c r="K368" i="2"/>
  <c r="J368" i="2"/>
  <c r="X367" i="2"/>
  <c r="U367" i="2"/>
  <c r="S367" i="2"/>
  <c r="R367" i="2"/>
  <c r="T367" i="2" s="1"/>
  <c r="K367" i="2"/>
  <c r="J367" i="2"/>
  <c r="X366" i="2"/>
  <c r="U366" i="2"/>
  <c r="S366" i="2"/>
  <c r="R366" i="2"/>
  <c r="T366" i="2" s="1"/>
  <c r="K366" i="2"/>
  <c r="J366" i="2"/>
  <c r="X365" i="2"/>
  <c r="U365" i="2"/>
  <c r="S365" i="2"/>
  <c r="R365" i="2"/>
  <c r="T365" i="2" s="1"/>
  <c r="K365" i="2"/>
  <c r="J365" i="2"/>
  <c r="X364" i="2"/>
  <c r="U364" i="2"/>
  <c r="S364" i="2"/>
  <c r="R364" i="2"/>
  <c r="T364" i="2" s="1"/>
  <c r="K364" i="2"/>
  <c r="J364" i="2"/>
  <c r="X363" i="2"/>
  <c r="U363" i="2"/>
  <c r="S363" i="2"/>
  <c r="R363" i="2"/>
  <c r="T363" i="2" s="1"/>
  <c r="K363" i="2"/>
  <c r="J363" i="2"/>
  <c r="X362" i="2"/>
  <c r="U362" i="2"/>
  <c r="S362" i="2"/>
  <c r="R362" i="2"/>
  <c r="T362" i="2" s="1"/>
  <c r="K362" i="2"/>
  <c r="J362" i="2"/>
  <c r="X361" i="2"/>
  <c r="U361" i="2"/>
  <c r="S361" i="2"/>
  <c r="R361" i="2"/>
  <c r="T361" i="2" s="1"/>
  <c r="K361" i="2"/>
  <c r="J361" i="2"/>
  <c r="X360" i="2"/>
  <c r="U360" i="2"/>
  <c r="S360" i="2"/>
  <c r="R360" i="2"/>
  <c r="T360" i="2" s="1"/>
  <c r="K360" i="2"/>
  <c r="J360" i="2"/>
  <c r="X359" i="2"/>
  <c r="U359" i="2"/>
  <c r="S359" i="2"/>
  <c r="R359" i="2"/>
  <c r="T359" i="2" s="1"/>
  <c r="K359" i="2"/>
  <c r="J359" i="2"/>
  <c r="X358" i="2"/>
  <c r="U358" i="2"/>
  <c r="S358" i="2"/>
  <c r="R358" i="2"/>
  <c r="T358" i="2" s="1"/>
  <c r="K358" i="2"/>
  <c r="J358" i="2"/>
  <c r="X357" i="2"/>
  <c r="U357" i="2"/>
  <c r="S357" i="2"/>
  <c r="R357" i="2"/>
  <c r="T357" i="2" s="1"/>
  <c r="K357" i="2"/>
  <c r="J357" i="2"/>
  <c r="X356" i="2"/>
  <c r="U356" i="2"/>
  <c r="S356" i="2"/>
  <c r="R356" i="2"/>
  <c r="T356" i="2" s="1"/>
  <c r="K356" i="2"/>
  <c r="J356" i="2"/>
  <c r="X355" i="2"/>
  <c r="U355" i="2"/>
  <c r="S355" i="2"/>
  <c r="R355" i="2"/>
  <c r="T355" i="2" s="1"/>
  <c r="K355" i="2"/>
  <c r="J355" i="2"/>
  <c r="X354" i="2"/>
  <c r="U354" i="2"/>
  <c r="S354" i="2"/>
  <c r="R354" i="2"/>
  <c r="T354" i="2" s="1"/>
  <c r="K354" i="2"/>
  <c r="J354" i="2"/>
  <c r="X353" i="2"/>
  <c r="U353" i="2"/>
  <c r="S353" i="2"/>
  <c r="R353" i="2"/>
  <c r="T353" i="2" s="1"/>
  <c r="K353" i="2"/>
  <c r="J353" i="2"/>
  <c r="X352" i="2"/>
  <c r="U352" i="2"/>
  <c r="S352" i="2"/>
  <c r="R352" i="2"/>
  <c r="T352" i="2" s="1"/>
  <c r="K352" i="2"/>
  <c r="J352" i="2"/>
  <c r="X351" i="2"/>
  <c r="U351" i="2"/>
  <c r="S351" i="2"/>
  <c r="R351" i="2"/>
  <c r="T351" i="2" s="1"/>
  <c r="K351" i="2"/>
  <c r="J351" i="2"/>
  <c r="X350" i="2"/>
  <c r="U350" i="2"/>
  <c r="S350" i="2"/>
  <c r="R350" i="2"/>
  <c r="T350" i="2" s="1"/>
  <c r="K350" i="2"/>
  <c r="J350" i="2"/>
  <c r="X349" i="2"/>
  <c r="U349" i="2"/>
  <c r="S349" i="2"/>
  <c r="R349" i="2"/>
  <c r="T349" i="2" s="1"/>
  <c r="K349" i="2"/>
  <c r="J349" i="2"/>
  <c r="X348" i="2"/>
  <c r="U348" i="2"/>
  <c r="S348" i="2"/>
  <c r="R348" i="2"/>
  <c r="T348" i="2" s="1"/>
  <c r="K348" i="2"/>
  <c r="J348" i="2"/>
  <c r="X347" i="2"/>
  <c r="U347" i="2"/>
  <c r="S347" i="2"/>
  <c r="R347" i="2"/>
  <c r="T347" i="2" s="1"/>
  <c r="K347" i="2"/>
  <c r="J347" i="2"/>
  <c r="X346" i="2"/>
  <c r="U346" i="2"/>
  <c r="S346" i="2"/>
  <c r="R346" i="2"/>
  <c r="T346" i="2" s="1"/>
  <c r="K346" i="2"/>
  <c r="J346" i="2"/>
  <c r="X345" i="2"/>
  <c r="U345" i="2"/>
  <c r="S345" i="2"/>
  <c r="R345" i="2"/>
  <c r="T345" i="2" s="1"/>
  <c r="K345" i="2"/>
  <c r="J345" i="2"/>
  <c r="X344" i="2"/>
  <c r="U344" i="2"/>
  <c r="S344" i="2"/>
  <c r="R344" i="2"/>
  <c r="T344" i="2" s="1"/>
  <c r="K344" i="2"/>
  <c r="J344" i="2"/>
  <c r="X343" i="2"/>
  <c r="U343" i="2"/>
  <c r="S343" i="2"/>
  <c r="R343" i="2"/>
  <c r="T343" i="2" s="1"/>
  <c r="K343" i="2"/>
  <c r="J343" i="2"/>
  <c r="X342" i="2"/>
  <c r="U342" i="2"/>
  <c r="S342" i="2"/>
  <c r="R342" i="2"/>
  <c r="T342" i="2" s="1"/>
  <c r="K342" i="2"/>
  <c r="J342" i="2"/>
  <c r="X341" i="2"/>
  <c r="U341" i="2"/>
  <c r="S341" i="2"/>
  <c r="R341" i="2"/>
  <c r="T341" i="2" s="1"/>
  <c r="K341" i="2"/>
  <c r="J341" i="2"/>
  <c r="X340" i="2"/>
  <c r="U340" i="2"/>
  <c r="S340" i="2"/>
  <c r="R340" i="2"/>
  <c r="T340" i="2" s="1"/>
  <c r="K340" i="2"/>
  <c r="J340" i="2"/>
  <c r="X339" i="2"/>
  <c r="U339" i="2"/>
  <c r="S339" i="2"/>
  <c r="R339" i="2"/>
  <c r="T339" i="2" s="1"/>
  <c r="K339" i="2"/>
  <c r="J339" i="2"/>
  <c r="X338" i="2"/>
  <c r="U338" i="2"/>
  <c r="S338" i="2"/>
  <c r="R338" i="2"/>
  <c r="T338" i="2" s="1"/>
  <c r="K338" i="2"/>
  <c r="J338" i="2"/>
  <c r="X337" i="2"/>
  <c r="U337" i="2"/>
  <c r="S337" i="2"/>
  <c r="R337" i="2"/>
  <c r="T337" i="2" s="1"/>
  <c r="K337" i="2"/>
  <c r="J337" i="2"/>
  <c r="X336" i="2"/>
  <c r="U336" i="2"/>
  <c r="S336" i="2"/>
  <c r="R336" i="2"/>
  <c r="T336" i="2" s="1"/>
  <c r="K336" i="2"/>
  <c r="J336" i="2"/>
  <c r="X335" i="2"/>
  <c r="U335" i="2"/>
  <c r="S335" i="2"/>
  <c r="R335" i="2"/>
  <c r="T335" i="2" s="1"/>
  <c r="K335" i="2"/>
  <c r="J335" i="2"/>
  <c r="X334" i="2"/>
  <c r="U334" i="2"/>
  <c r="S334" i="2"/>
  <c r="R334" i="2"/>
  <c r="T334" i="2" s="1"/>
  <c r="K334" i="2"/>
  <c r="J334" i="2"/>
  <c r="X333" i="2"/>
  <c r="U333" i="2"/>
  <c r="S333" i="2"/>
  <c r="R333" i="2"/>
  <c r="T333" i="2" s="1"/>
  <c r="K333" i="2"/>
  <c r="J333" i="2"/>
  <c r="X332" i="2"/>
  <c r="U332" i="2"/>
  <c r="S332" i="2"/>
  <c r="R332" i="2"/>
  <c r="T332" i="2" s="1"/>
  <c r="K332" i="2"/>
  <c r="J332" i="2"/>
  <c r="X331" i="2"/>
  <c r="U331" i="2"/>
  <c r="S331" i="2"/>
  <c r="R331" i="2"/>
  <c r="T331" i="2" s="1"/>
  <c r="K331" i="2"/>
  <c r="J331" i="2"/>
  <c r="X330" i="2"/>
  <c r="U330" i="2"/>
  <c r="S330" i="2"/>
  <c r="R330" i="2"/>
  <c r="T330" i="2" s="1"/>
  <c r="K330" i="2"/>
  <c r="J330" i="2"/>
  <c r="X329" i="2"/>
  <c r="U329" i="2"/>
  <c r="S329" i="2"/>
  <c r="R329" i="2"/>
  <c r="T329" i="2" s="1"/>
  <c r="K329" i="2"/>
  <c r="J329" i="2"/>
  <c r="X328" i="2"/>
  <c r="U328" i="2"/>
  <c r="S328" i="2"/>
  <c r="R328" i="2"/>
  <c r="T328" i="2" s="1"/>
  <c r="K328" i="2"/>
  <c r="J328" i="2"/>
  <c r="X327" i="2"/>
  <c r="U327" i="2"/>
  <c r="S327" i="2"/>
  <c r="R327" i="2"/>
  <c r="T327" i="2" s="1"/>
  <c r="K327" i="2"/>
  <c r="J327" i="2"/>
  <c r="X326" i="2"/>
  <c r="U326" i="2"/>
  <c r="S326" i="2"/>
  <c r="R326" i="2"/>
  <c r="T326" i="2" s="1"/>
  <c r="K326" i="2"/>
  <c r="J326" i="2"/>
  <c r="X325" i="2"/>
  <c r="U325" i="2"/>
  <c r="S325" i="2"/>
  <c r="R325" i="2"/>
  <c r="T325" i="2" s="1"/>
  <c r="K325" i="2"/>
  <c r="J325" i="2"/>
  <c r="X324" i="2"/>
  <c r="U324" i="2"/>
  <c r="S324" i="2"/>
  <c r="R324" i="2"/>
  <c r="T324" i="2" s="1"/>
  <c r="K324" i="2"/>
  <c r="J324" i="2"/>
  <c r="X323" i="2"/>
  <c r="U323" i="2"/>
  <c r="S323" i="2"/>
  <c r="R323" i="2"/>
  <c r="T323" i="2" s="1"/>
  <c r="K323" i="2"/>
  <c r="J323" i="2"/>
  <c r="X322" i="2"/>
  <c r="U322" i="2"/>
  <c r="S322" i="2"/>
  <c r="R322" i="2"/>
  <c r="T322" i="2" s="1"/>
  <c r="K322" i="2"/>
  <c r="J322" i="2"/>
  <c r="X321" i="2"/>
  <c r="U321" i="2"/>
  <c r="S321" i="2"/>
  <c r="R321" i="2"/>
  <c r="T321" i="2" s="1"/>
  <c r="K321" i="2"/>
  <c r="J321" i="2"/>
  <c r="X320" i="2"/>
  <c r="U320" i="2"/>
  <c r="S320" i="2"/>
  <c r="R320" i="2"/>
  <c r="T320" i="2" s="1"/>
  <c r="K320" i="2"/>
  <c r="J320" i="2"/>
  <c r="X319" i="2"/>
  <c r="U319" i="2"/>
  <c r="S319" i="2"/>
  <c r="R319" i="2"/>
  <c r="T319" i="2" s="1"/>
  <c r="K319" i="2"/>
  <c r="J319" i="2"/>
  <c r="X318" i="2"/>
  <c r="U318" i="2"/>
  <c r="S318" i="2"/>
  <c r="R318" i="2"/>
  <c r="T318" i="2" s="1"/>
  <c r="K318" i="2"/>
  <c r="J318" i="2"/>
  <c r="X317" i="2"/>
  <c r="U317" i="2"/>
  <c r="S317" i="2"/>
  <c r="R317" i="2"/>
  <c r="T317" i="2" s="1"/>
  <c r="K317" i="2"/>
  <c r="J317" i="2"/>
  <c r="X316" i="2"/>
  <c r="U316" i="2"/>
  <c r="S316" i="2"/>
  <c r="R316" i="2"/>
  <c r="T316" i="2" s="1"/>
  <c r="K316" i="2"/>
  <c r="J316" i="2"/>
  <c r="X315" i="2"/>
  <c r="U315" i="2"/>
  <c r="S315" i="2"/>
  <c r="R315" i="2"/>
  <c r="T315" i="2" s="1"/>
  <c r="K315" i="2"/>
  <c r="J315" i="2"/>
  <c r="X314" i="2"/>
  <c r="U314" i="2"/>
  <c r="S314" i="2"/>
  <c r="R314" i="2"/>
  <c r="T314" i="2" s="1"/>
  <c r="K314" i="2"/>
  <c r="J314" i="2"/>
  <c r="X313" i="2"/>
  <c r="U313" i="2"/>
  <c r="S313" i="2"/>
  <c r="R313" i="2"/>
  <c r="T313" i="2" s="1"/>
  <c r="K313" i="2"/>
  <c r="J313" i="2"/>
  <c r="X312" i="2"/>
  <c r="U312" i="2"/>
  <c r="S312" i="2"/>
  <c r="R312" i="2"/>
  <c r="T312" i="2" s="1"/>
  <c r="K312" i="2"/>
  <c r="J312" i="2"/>
  <c r="X311" i="2"/>
  <c r="U311" i="2"/>
  <c r="S311" i="2"/>
  <c r="R311" i="2"/>
  <c r="T311" i="2" s="1"/>
  <c r="K311" i="2"/>
  <c r="J311" i="2"/>
  <c r="X310" i="2"/>
  <c r="U310" i="2"/>
  <c r="S310" i="2"/>
  <c r="R310" i="2"/>
  <c r="T310" i="2" s="1"/>
  <c r="K310" i="2"/>
  <c r="J310" i="2"/>
  <c r="X309" i="2"/>
  <c r="U309" i="2"/>
  <c r="S309" i="2"/>
  <c r="R309" i="2"/>
  <c r="T309" i="2" s="1"/>
  <c r="K309" i="2"/>
  <c r="J309" i="2"/>
  <c r="X308" i="2"/>
  <c r="U308" i="2"/>
  <c r="S308" i="2"/>
  <c r="R308" i="2"/>
  <c r="T308" i="2" s="1"/>
  <c r="K308" i="2"/>
  <c r="J308" i="2"/>
  <c r="X307" i="2"/>
  <c r="U307" i="2"/>
  <c r="S307" i="2"/>
  <c r="R307" i="2"/>
  <c r="T307" i="2" s="1"/>
  <c r="K307" i="2"/>
  <c r="J307" i="2"/>
  <c r="X306" i="2"/>
  <c r="U306" i="2"/>
  <c r="S306" i="2"/>
  <c r="R306" i="2"/>
  <c r="T306" i="2" s="1"/>
  <c r="K306" i="2"/>
  <c r="J306" i="2"/>
  <c r="X305" i="2"/>
  <c r="U305" i="2"/>
  <c r="S305" i="2"/>
  <c r="R305" i="2"/>
  <c r="T305" i="2" s="1"/>
  <c r="K305" i="2"/>
  <c r="J305" i="2"/>
  <c r="X304" i="2"/>
  <c r="U304" i="2"/>
  <c r="S304" i="2"/>
  <c r="R304" i="2"/>
  <c r="T304" i="2" s="1"/>
  <c r="K304" i="2"/>
  <c r="J304" i="2"/>
  <c r="X303" i="2"/>
  <c r="U303" i="2"/>
  <c r="S303" i="2"/>
  <c r="R303" i="2"/>
  <c r="T303" i="2" s="1"/>
  <c r="K303" i="2"/>
  <c r="J303" i="2"/>
  <c r="X302" i="2"/>
  <c r="U302" i="2"/>
  <c r="S302" i="2"/>
  <c r="R302" i="2"/>
  <c r="T302" i="2" s="1"/>
  <c r="K302" i="2"/>
  <c r="J302" i="2"/>
  <c r="X301" i="2"/>
  <c r="U301" i="2"/>
  <c r="S301" i="2"/>
  <c r="R301" i="2"/>
  <c r="T301" i="2" s="1"/>
  <c r="K301" i="2"/>
  <c r="J301" i="2"/>
  <c r="X300" i="2"/>
  <c r="U300" i="2"/>
  <c r="S300" i="2"/>
  <c r="R300" i="2"/>
  <c r="T300" i="2" s="1"/>
  <c r="K300" i="2"/>
  <c r="J300" i="2"/>
  <c r="X299" i="2"/>
  <c r="U299" i="2"/>
  <c r="S299" i="2"/>
  <c r="R299" i="2"/>
  <c r="T299" i="2" s="1"/>
  <c r="K299" i="2"/>
  <c r="J299" i="2"/>
  <c r="X298" i="2"/>
  <c r="U298" i="2"/>
  <c r="S298" i="2"/>
  <c r="R298" i="2"/>
  <c r="T298" i="2" s="1"/>
  <c r="K298" i="2"/>
  <c r="J298" i="2"/>
  <c r="X297" i="2"/>
  <c r="U297" i="2"/>
  <c r="S297" i="2"/>
  <c r="R297" i="2"/>
  <c r="T297" i="2" s="1"/>
  <c r="K297" i="2"/>
  <c r="J297" i="2"/>
  <c r="X296" i="2"/>
  <c r="U296" i="2"/>
  <c r="S296" i="2"/>
  <c r="R296" i="2"/>
  <c r="T296" i="2" s="1"/>
  <c r="K296" i="2"/>
  <c r="J296" i="2"/>
  <c r="X295" i="2"/>
  <c r="U295" i="2"/>
  <c r="S295" i="2"/>
  <c r="R295" i="2"/>
  <c r="T295" i="2" s="1"/>
  <c r="K295" i="2"/>
  <c r="J295" i="2"/>
  <c r="X294" i="2"/>
  <c r="U294" i="2"/>
  <c r="S294" i="2"/>
  <c r="R294" i="2"/>
  <c r="T294" i="2" s="1"/>
  <c r="K294" i="2"/>
  <c r="J294" i="2"/>
  <c r="X293" i="2"/>
  <c r="U293" i="2"/>
  <c r="S293" i="2"/>
  <c r="R293" i="2"/>
  <c r="T293" i="2" s="1"/>
  <c r="K293" i="2"/>
  <c r="J293" i="2"/>
  <c r="X292" i="2"/>
  <c r="U292" i="2"/>
  <c r="S292" i="2"/>
  <c r="R292" i="2"/>
  <c r="T292" i="2" s="1"/>
  <c r="K292" i="2"/>
  <c r="J292" i="2"/>
  <c r="X291" i="2"/>
  <c r="U291" i="2"/>
  <c r="S291" i="2"/>
  <c r="R291" i="2"/>
  <c r="T291" i="2" s="1"/>
  <c r="K291" i="2"/>
  <c r="J291" i="2"/>
  <c r="X290" i="2"/>
  <c r="U290" i="2"/>
  <c r="S290" i="2"/>
  <c r="R290" i="2"/>
  <c r="T290" i="2" s="1"/>
  <c r="K290" i="2"/>
  <c r="J290" i="2"/>
  <c r="X289" i="2"/>
  <c r="U289" i="2"/>
  <c r="S289" i="2"/>
  <c r="R289" i="2"/>
  <c r="T289" i="2" s="1"/>
  <c r="K289" i="2"/>
  <c r="J289" i="2"/>
  <c r="X288" i="2"/>
  <c r="U288" i="2"/>
  <c r="S288" i="2"/>
  <c r="R288" i="2"/>
  <c r="T288" i="2" s="1"/>
  <c r="K288" i="2"/>
  <c r="J288" i="2"/>
  <c r="X287" i="2"/>
  <c r="U287" i="2"/>
  <c r="S287" i="2"/>
  <c r="R287" i="2"/>
  <c r="T287" i="2" s="1"/>
  <c r="K287" i="2"/>
  <c r="J287" i="2"/>
  <c r="X286" i="2"/>
  <c r="U286" i="2"/>
  <c r="S286" i="2"/>
  <c r="R286" i="2"/>
  <c r="T286" i="2" s="1"/>
  <c r="K286" i="2"/>
  <c r="J286" i="2"/>
  <c r="X285" i="2"/>
  <c r="U285" i="2"/>
  <c r="S285" i="2"/>
  <c r="R285" i="2"/>
  <c r="T285" i="2" s="1"/>
  <c r="K285" i="2"/>
  <c r="J285" i="2"/>
  <c r="X284" i="2"/>
  <c r="U284" i="2"/>
  <c r="S284" i="2"/>
  <c r="R284" i="2"/>
  <c r="T284" i="2" s="1"/>
  <c r="K284" i="2"/>
  <c r="J284" i="2"/>
  <c r="X283" i="2"/>
  <c r="U283" i="2"/>
  <c r="S283" i="2"/>
  <c r="R283" i="2"/>
  <c r="T283" i="2" s="1"/>
  <c r="K283" i="2"/>
  <c r="J283" i="2"/>
  <c r="X282" i="2"/>
  <c r="U282" i="2"/>
  <c r="S282" i="2"/>
  <c r="R282" i="2"/>
  <c r="T282" i="2" s="1"/>
  <c r="K282" i="2"/>
  <c r="J282" i="2"/>
  <c r="X281" i="2"/>
  <c r="U281" i="2"/>
  <c r="S281" i="2"/>
  <c r="R281" i="2"/>
  <c r="T281" i="2" s="1"/>
  <c r="K281" i="2"/>
  <c r="J281" i="2"/>
  <c r="X280" i="2"/>
  <c r="U280" i="2"/>
  <c r="S280" i="2"/>
  <c r="R280" i="2"/>
  <c r="T280" i="2" s="1"/>
  <c r="K280" i="2"/>
  <c r="J280" i="2"/>
  <c r="X279" i="2"/>
  <c r="U279" i="2"/>
  <c r="S279" i="2"/>
  <c r="R279" i="2"/>
  <c r="T279" i="2" s="1"/>
  <c r="K279" i="2"/>
  <c r="J279" i="2"/>
  <c r="X278" i="2"/>
  <c r="U278" i="2"/>
  <c r="S278" i="2"/>
  <c r="R278" i="2"/>
  <c r="T278" i="2" s="1"/>
  <c r="K278" i="2"/>
  <c r="J278" i="2"/>
  <c r="X277" i="2"/>
  <c r="U277" i="2"/>
  <c r="S277" i="2"/>
  <c r="R277" i="2"/>
  <c r="T277" i="2" s="1"/>
  <c r="K277" i="2"/>
  <c r="J277" i="2"/>
  <c r="X276" i="2"/>
  <c r="U276" i="2"/>
  <c r="S276" i="2"/>
  <c r="R276" i="2"/>
  <c r="T276" i="2" s="1"/>
  <c r="K276" i="2"/>
  <c r="J276" i="2"/>
  <c r="X275" i="2"/>
  <c r="U275" i="2"/>
  <c r="S275" i="2"/>
  <c r="R275" i="2"/>
  <c r="T275" i="2" s="1"/>
  <c r="K275" i="2"/>
  <c r="J275" i="2"/>
  <c r="X274" i="2"/>
  <c r="U274" i="2"/>
  <c r="S274" i="2"/>
  <c r="R274" i="2"/>
  <c r="T274" i="2" s="1"/>
  <c r="K274" i="2"/>
  <c r="J274" i="2"/>
  <c r="X273" i="2"/>
  <c r="U273" i="2"/>
  <c r="S273" i="2"/>
  <c r="R273" i="2"/>
  <c r="T273" i="2" s="1"/>
  <c r="K273" i="2"/>
  <c r="J273" i="2"/>
  <c r="X272" i="2"/>
  <c r="U272" i="2"/>
  <c r="S272" i="2"/>
  <c r="R272" i="2"/>
  <c r="T272" i="2" s="1"/>
  <c r="K272" i="2"/>
  <c r="J272" i="2"/>
  <c r="X271" i="2"/>
  <c r="U271" i="2"/>
  <c r="S271" i="2"/>
  <c r="R271" i="2"/>
  <c r="T271" i="2" s="1"/>
  <c r="K271" i="2"/>
  <c r="J271" i="2"/>
  <c r="X270" i="2"/>
  <c r="U270" i="2"/>
  <c r="S270" i="2"/>
  <c r="R270" i="2"/>
  <c r="T270" i="2" s="1"/>
  <c r="K270" i="2"/>
  <c r="J270" i="2"/>
  <c r="X269" i="2"/>
  <c r="U269" i="2"/>
  <c r="S269" i="2"/>
  <c r="R269" i="2"/>
  <c r="T269" i="2" s="1"/>
  <c r="K269" i="2"/>
  <c r="J269" i="2"/>
  <c r="X268" i="2"/>
  <c r="U268" i="2"/>
  <c r="S268" i="2"/>
  <c r="R268" i="2"/>
  <c r="T268" i="2" s="1"/>
  <c r="K268" i="2"/>
  <c r="J268" i="2"/>
  <c r="X267" i="2"/>
  <c r="U267" i="2"/>
  <c r="S267" i="2"/>
  <c r="R267" i="2"/>
  <c r="T267" i="2" s="1"/>
  <c r="K267" i="2"/>
  <c r="J267" i="2"/>
  <c r="X266" i="2"/>
  <c r="U266" i="2"/>
  <c r="S266" i="2"/>
  <c r="R266" i="2"/>
  <c r="T266" i="2" s="1"/>
  <c r="K266" i="2"/>
  <c r="J266" i="2"/>
  <c r="X265" i="2"/>
  <c r="U265" i="2"/>
  <c r="S265" i="2"/>
  <c r="R265" i="2"/>
  <c r="T265" i="2" s="1"/>
  <c r="K265" i="2"/>
  <c r="J265" i="2"/>
  <c r="X264" i="2"/>
  <c r="U264" i="2"/>
  <c r="S264" i="2"/>
  <c r="R264" i="2"/>
  <c r="T264" i="2" s="1"/>
  <c r="K264" i="2"/>
  <c r="J264" i="2"/>
  <c r="X263" i="2"/>
  <c r="U263" i="2"/>
  <c r="S263" i="2"/>
  <c r="R263" i="2"/>
  <c r="T263" i="2" s="1"/>
  <c r="K263" i="2"/>
  <c r="J263" i="2"/>
  <c r="X262" i="2"/>
  <c r="U262" i="2"/>
  <c r="S262" i="2"/>
  <c r="R262" i="2"/>
  <c r="T262" i="2" s="1"/>
  <c r="K262" i="2"/>
  <c r="J262" i="2"/>
  <c r="X261" i="2"/>
  <c r="U261" i="2"/>
  <c r="S261" i="2"/>
  <c r="R261" i="2"/>
  <c r="T261" i="2" s="1"/>
  <c r="K261" i="2"/>
  <c r="J261" i="2"/>
  <c r="X260" i="2"/>
  <c r="U260" i="2"/>
  <c r="S260" i="2"/>
  <c r="R260" i="2"/>
  <c r="T260" i="2" s="1"/>
  <c r="K260" i="2"/>
  <c r="J260" i="2"/>
  <c r="X259" i="2"/>
  <c r="U259" i="2"/>
  <c r="S259" i="2"/>
  <c r="R259" i="2"/>
  <c r="T259" i="2" s="1"/>
  <c r="K259" i="2"/>
  <c r="J259" i="2"/>
  <c r="X258" i="2"/>
  <c r="U258" i="2"/>
  <c r="S258" i="2"/>
  <c r="R258" i="2"/>
  <c r="T258" i="2" s="1"/>
  <c r="K258" i="2"/>
  <c r="J258" i="2"/>
  <c r="X257" i="2"/>
  <c r="U257" i="2"/>
  <c r="S257" i="2"/>
  <c r="R257" i="2"/>
  <c r="T257" i="2" s="1"/>
  <c r="K257" i="2"/>
  <c r="J257" i="2"/>
  <c r="X256" i="2"/>
  <c r="U256" i="2"/>
  <c r="S256" i="2"/>
  <c r="R256" i="2"/>
  <c r="T256" i="2" s="1"/>
  <c r="K256" i="2"/>
  <c r="J256" i="2"/>
  <c r="X255" i="2"/>
  <c r="U255" i="2"/>
  <c r="S255" i="2"/>
  <c r="R255" i="2"/>
  <c r="T255" i="2" s="1"/>
  <c r="K255" i="2"/>
  <c r="J255" i="2"/>
  <c r="X254" i="2"/>
  <c r="U254" i="2"/>
  <c r="S254" i="2"/>
  <c r="R254" i="2"/>
  <c r="T254" i="2" s="1"/>
  <c r="K254" i="2"/>
  <c r="J254" i="2"/>
  <c r="X253" i="2"/>
  <c r="U253" i="2"/>
  <c r="S253" i="2"/>
  <c r="R253" i="2"/>
  <c r="T253" i="2" s="1"/>
  <c r="K253" i="2"/>
  <c r="J253" i="2"/>
  <c r="X252" i="2"/>
  <c r="U252" i="2"/>
  <c r="S252" i="2"/>
  <c r="R252" i="2"/>
  <c r="T252" i="2" s="1"/>
  <c r="K252" i="2"/>
  <c r="J252" i="2"/>
  <c r="X251" i="2"/>
  <c r="U251" i="2"/>
  <c r="S251" i="2"/>
  <c r="R251" i="2"/>
  <c r="T251" i="2" s="1"/>
  <c r="K251" i="2"/>
  <c r="J251" i="2"/>
  <c r="X250" i="2"/>
  <c r="U250" i="2"/>
  <c r="S250" i="2"/>
  <c r="R250" i="2"/>
  <c r="T250" i="2" s="1"/>
  <c r="K250" i="2"/>
  <c r="J250" i="2"/>
  <c r="X249" i="2"/>
  <c r="U249" i="2"/>
  <c r="S249" i="2"/>
  <c r="R249" i="2"/>
  <c r="T249" i="2" s="1"/>
  <c r="K249" i="2"/>
  <c r="J249" i="2"/>
  <c r="X248" i="2"/>
  <c r="U248" i="2"/>
  <c r="S248" i="2"/>
  <c r="R248" i="2"/>
  <c r="T248" i="2" s="1"/>
  <c r="K248" i="2"/>
  <c r="J248" i="2"/>
  <c r="X247" i="2"/>
  <c r="U247" i="2"/>
  <c r="S247" i="2"/>
  <c r="R247" i="2"/>
  <c r="T247" i="2" s="1"/>
  <c r="K247" i="2"/>
  <c r="J247" i="2"/>
  <c r="X246" i="2"/>
  <c r="U246" i="2"/>
  <c r="S246" i="2"/>
  <c r="R246" i="2"/>
  <c r="T246" i="2" s="1"/>
  <c r="K246" i="2"/>
  <c r="J246" i="2"/>
  <c r="X245" i="2"/>
  <c r="U245" i="2"/>
  <c r="S245" i="2"/>
  <c r="R245" i="2"/>
  <c r="T245" i="2" s="1"/>
  <c r="K245" i="2"/>
  <c r="J245" i="2"/>
  <c r="X244" i="2"/>
  <c r="U244" i="2"/>
  <c r="S244" i="2"/>
  <c r="R244" i="2"/>
  <c r="T244" i="2" s="1"/>
  <c r="K244" i="2"/>
  <c r="J244" i="2"/>
  <c r="X243" i="2"/>
  <c r="U243" i="2"/>
  <c r="S243" i="2"/>
  <c r="R243" i="2"/>
  <c r="T243" i="2" s="1"/>
  <c r="K243" i="2"/>
  <c r="J243" i="2"/>
  <c r="X242" i="2"/>
  <c r="U242" i="2"/>
  <c r="S242" i="2"/>
  <c r="R242" i="2"/>
  <c r="T242" i="2" s="1"/>
  <c r="K242" i="2"/>
  <c r="J242" i="2"/>
  <c r="X241" i="2"/>
  <c r="U241" i="2"/>
  <c r="S241" i="2"/>
  <c r="R241" i="2"/>
  <c r="T241" i="2" s="1"/>
  <c r="K241" i="2"/>
  <c r="J241" i="2"/>
  <c r="X240" i="2"/>
  <c r="U240" i="2"/>
  <c r="S240" i="2"/>
  <c r="R240" i="2"/>
  <c r="T240" i="2" s="1"/>
  <c r="K240" i="2"/>
  <c r="J240" i="2"/>
  <c r="X239" i="2"/>
  <c r="U239" i="2"/>
  <c r="S239" i="2"/>
  <c r="R239" i="2"/>
  <c r="T239" i="2" s="1"/>
  <c r="K239" i="2"/>
  <c r="J239" i="2"/>
  <c r="X238" i="2"/>
  <c r="U238" i="2"/>
  <c r="S238" i="2"/>
  <c r="R238" i="2"/>
  <c r="T238" i="2" s="1"/>
  <c r="K238" i="2"/>
  <c r="J238" i="2"/>
  <c r="X237" i="2"/>
  <c r="U237" i="2"/>
  <c r="S237" i="2"/>
  <c r="R237" i="2"/>
  <c r="T237" i="2" s="1"/>
  <c r="K237" i="2"/>
  <c r="J237" i="2"/>
  <c r="X236" i="2"/>
  <c r="U236" i="2"/>
  <c r="S236" i="2"/>
  <c r="R236" i="2"/>
  <c r="T236" i="2" s="1"/>
  <c r="K236" i="2"/>
  <c r="J236" i="2"/>
  <c r="X235" i="2"/>
  <c r="U235" i="2"/>
  <c r="S235" i="2"/>
  <c r="R235" i="2"/>
  <c r="T235" i="2" s="1"/>
  <c r="K235" i="2"/>
  <c r="J235" i="2"/>
  <c r="X234" i="2"/>
  <c r="U234" i="2"/>
  <c r="S234" i="2"/>
  <c r="R234" i="2"/>
  <c r="T234" i="2" s="1"/>
  <c r="K234" i="2"/>
  <c r="J234" i="2"/>
  <c r="X233" i="2"/>
  <c r="U233" i="2"/>
  <c r="S233" i="2"/>
  <c r="R233" i="2"/>
  <c r="T233" i="2" s="1"/>
  <c r="K233" i="2"/>
  <c r="J233" i="2"/>
  <c r="X232" i="2"/>
  <c r="U232" i="2"/>
  <c r="S232" i="2"/>
  <c r="R232" i="2"/>
  <c r="T232" i="2" s="1"/>
  <c r="K232" i="2"/>
  <c r="J232" i="2"/>
  <c r="X231" i="2"/>
  <c r="U231" i="2"/>
  <c r="S231" i="2"/>
  <c r="R231" i="2"/>
  <c r="T231" i="2" s="1"/>
  <c r="K231" i="2"/>
  <c r="J231" i="2"/>
  <c r="X230" i="2"/>
  <c r="U230" i="2"/>
  <c r="S230" i="2"/>
  <c r="R230" i="2"/>
  <c r="T230" i="2" s="1"/>
  <c r="K230" i="2"/>
  <c r="J230" i="2"/>
  <c r="X229" i="2"/>
  <c r="U229" i="2"/>
  <c r="S229" i="2"/>
  <c r="R229" i="2"/>
  <c r="T229" i="2" s="1"/>
  <c r="K229" i="2"/>
  <c r="J229" i="2"/>
  <c r="X228" i="2"/>
  <c r="U228" i="2"/>
  <c r="S228" i="2"/>
  <c r="R228" i="2"/>
  <c r="T228" i="2" s="1"/>
  <c r="K228" i="2"/>
  <c r="J228" i="2"/>
  <c r="X227" i="2"/>
  <c r="U227" i="2"/>
  <c r="S227" i="2"/>
  <c r="R227" i="2"/>
  <c r="T227" i="2" s="1"/>
  <c r="K227" i="2"/>
  <c r="J227" i="2"/>
  <c r="X226" i="2"/>
  <c r="U226" i="2"/>
  <c r="S226" i="2"/>
  <c r="R226" i="2"/>
  <c r="T226" i="2" s="1"/>
  <c r="K226" i="2"/>
  <c r="J226" i="2"/>
  <c r="X225" i="2"/>
  <c r="U225" i="2"/>
  <c r="S225" i="2"/>
  <c r="R225" i="2"/>
  <c r="T225" i="2" s="1"/>
  <c r="K225" i="2"/>
  <c r="J225" i="2"/>
  <c r="X224" i="2"/>
  <c r="U224" i="2"/>
  <c r="S224" i="2"/>
  <c r="R224" i="2"/>
  <c r="T224" i="2" s="1"/>
  <c r="K224" i="2"/>
  <c r="J224" i="2"/>
  <c r="X223" i="2"/>
  <c r="U223" i="2"/>
  <c r="S223" i="2"/>
  <c r="R223" i="2"/>
  <c r="T223" i="2" s="1"/>
  <c r="K223" i="2"/>
  <c r="J223" i="2"/>
  <c r="X222" i="2"/>
  <c r="U222" i="2"/>
  <c r="S222" i="2"/>
  <c r="R222" i="2"/>
  <c r="T222" i="2" s="1"/>
  <c r="K222" i="2"/>
  <c r="J222" i="2"/>
  <c r="X221" i="2"/>
  <c r="U221" i="2"/>
  <c r="S221" i="2"/>
  <c r="R221" i="2"/>
  <c r="T221" i="2" s="1"/>
  <c r="K221" i="2"/>
  <c r="J221" i="2"/>
  <c r="X220" i="2"/>
  <c r="U220" i="2"/>
  <c r="S220" i="2"/>
  <c r="R220" i="2"/>
  <c r="T220" i="2" s="1"/>
  <c r="K220" i="2"/>
  <c r="J220" i="2"/>
  <c r="X219" i="2"/>
  <c r="U219" i="2"/>
  <c r="S219" i="2"/>
  <c r="R219" i="2"/>
  <c r="T219" i="2" s="1"/>
  <c r="K219" i="2"/>
  <c r="J219" i="2"/>
  <c r="X218" i="2"/>
  <c r="U218" i="2"/>
  <c r="S218" i="2"/>
  <c r="R218" i="2"/>
  <c r="T218" i="2" s="1"/>
  <c r="K218" i="2"/>
  <c r="J218" i="2"/>
  <c r="X217" i="2"/>
  <c r="U217" i="2"/>
  <c r="S217" i="2"/>
  <c r="R217" i="2"/>
  <c r="T217" i="2" s="1"/>
  <c r="K217" i="2"/>
  <c r="J217" i="2"/>
  <c r="X216" i="2"/>
  <c r="U216" i="2"/>
  <c r="S216" i="2"/>
  <c r="R216" i="2"/>
  <c r="T216" i="2" s="1"/>
  <c r="K216" i="2"/>
  <c r="J216" i="2"/>
  <c r="X215" i="2"/>
  <c r="U215" i="2"/>
  <c r="S215" i="2"/>
  <c r="R215" i="2"/>
  <c r="T215" i="2" s="1"/>
  <c r="K215" i="2"/>
  <c r="J215" i="2"/>
  <c r="X214" i="2"/>
  <c r="U214" i="2"/>
  <c r="S214" i="2"/>
  <c r="R214" i="2"/>
  <c r="T214" i="2" s="1"/>
  <c r="K214" i="2"/>
  <c r="J214" i="2"/>
  <c r="X213" i="2"/>
  <c r="U213" i="2"/>
  <c r="S213" i="2"/>
  <c r="R213" i="2"/>
  <c r="T213" i="2" s="1"/>
  <c r="K213" i="2"/>
  <c r="J213" i="2"/>
  <c r="X212" i="2"/>
  <c r="U212" i="2"/>
  <c r="S212" i="2"/>
  <c r="R212" i="2"/>
  <c r="T212" i="2" s="1"/>
  <c r="K212" i="2"/>
  <c r="J212" i="2"/>
  <c r="X211" i="2"/>
  <c r="U211" i="2"/>
  <c r="S211" i="2"/>
  <c r="R211" i="2"/>
  <c r="T211" i="2" s="1"/>
  <c r="K211" i="2"/>
  <c r="J211" i="2"/>
  <c r="X210" i="2"/>
  <c r="U210" i="2"/>
  <c r="S210" i="2"/>
  <c r="R210" i="2"/>
  <c r="T210" i="2" s="1"/>
  <c r="K210" i="2"/>
  <c r="J210" i="2"/>
  <c r="X209" i="2"/>
  <c r="U209" i="2"/>
  <c r="S209" i="2"/>
  <c r="R209" i="2"/>
  <c r="T209" i="2" s="1"/>
  <c r="K209" i="2"/>
  <c r="J209" i="2"/>
  <c r="X208" i="2"/>
  <c r="U208" i="2"/>
  <c r="S208" i="2"/>
  <c r="R208" i="2"/>
  <c r="T208" i="2" s="1"/>
  <c r="K208" i="2"/>
  <c r="J208" i="2"/>
  <c r="X207" i="2"/>
  <c r="U207" i="2"/>
  <c r="S207" i="2"/>
  <c r="R207" i="2"/>
  <c r="T207" i="2" s="1"/>
  <c r="K207" i="2"/>
  <c r="J207" i="2"/>
  <c r="X206" i="2"/>
  <c r="U206" i="2"/>
  <c r="S206" i="2"/>
  <c r="R206" i="2"/>
  <c r="T206" i="2" s="1"/>
  <c r="K206" i="2"/>
  <c r="J206" i="2"/>
  <c r="X205" i="2"/>
  <c r="U205" i="2"/>
  <c r="S205" i="2"/>
  <c r="R205" i="2"/>
  <c r="T205" i="2" s="1"/>
  <c r="K205" i="2"/>
  <c r="J205" i="2"/>
  <c r="X204" i="2"/>
  <c r="U204" i="2"/>
  <c r="S204" i="2"/>
  <c r="R204" i="2"/>
  <c r="T204" i="2" s="1"/>
  <c r="K204" i="2"/>
  <c r="J204" i="2"/>
  <c r="X203" i="2"/>
  <c r="U203" i="2"/>
  <c r="S203" i="2"/>
  <c r="R203" i="2"/>
  <c r="T203" i="2" s="1"/>
  <c r="K203" i="2"/>
  <c r="J203" i="2"/>
  <c r="X202" i="2"/>
  <c r="U202" i="2"/>
  <c r="S202" i="2"/>
  <c r="R202" i="2"/>
  <c r="T202" i="2" s="1"/>
  <c r="K202" i="2"/>
  <c r="J202" i="2"/>
  <c r="X201" i="2"/>
  <c r="U201" i="2"/>
  <c r="S201" i="2"/>
  <c r="R201" i="2"/>
  <c r="T201" i="2" s="1"/>
  <c r="K201" i="2"/>
  <c r="J201" i="2"/>
  <c r="X200" i="2"/>
  <c r="U200" i="2"/>
  <c r="S200" i="2"/>
  <c r="R200" i="2"/>
  <c r="T200" i="2" s="1"/>
  <c r="K200" i="2"/>
  <c r="J200" i="2"/>
  <c r="X199" i="2"/>
  <c r="U199" i="2"/>
  <c r="S199" i="2"/>
  <c r="R199" i="2"/>
  <c r="T199" i="2" s="1"/>
  <c r="K199" i="2"/>
  <c r="J199" i="2"/>
  <c r="X198" i="2"/>
  <c r="U198" i="2"/>
  <c r="S198" i="2"/>
  <c r="R198" i="2"/>
  <c r="T198" i="2" s="1"/>
  <c r="K198" i="2"/>
  <c r="J198" i="2"/>
  <c r="X197" i="2"/>
  <c r="U197" i="2"/>
  <c r="S197" i="2"/>
  <c r="R197" i="2"/>
  <c r="T197" i="2" s="1"/>
  <c r="K197" i="2"/>
  <c r="J197" i="2"/>
  <c r="X196" i="2"/>
  <c r="U196" i="2"/>
  <c r="S196" i="2"/>
  <c r="R196" i="2"/>
  <c r="T196" i="2" s="1"/>
  <c r="K196" i="2"/>
  <c r="J196" i="2"/>
  <c r="X195" i="2"/>
  <c r="U195" i="2"/>
  <c r="S195" i="2"/>
  <c r="R195" i="2"/>
  <c r="T195" i="2" s="1"/>
  <c r="K195" i="2"/>
  <c r="J195" i="2"/>
  <c r="X194" i="2"/>
  <c r="U194" i="2"/>
  <c r="S194" i="2"/>
  <c r="R194" i="2"/>
  <c r="T194" i="2" s="1"/>
  <c r="K194" i="2"/>
  <c r="J194" i="2"/>
  <c r="X193" i="2"/>
  <c r="U193" i="2"/>
  <c r="S193" i="2"/>
  <c r="R193" i="2"/>
  <c r="T193" i="2" s="1"/>
  <c r="K193" i="2"/>
  <c r="J193" i="2"/>
  <c r="X192" i="2"/>
  <c r="U192" i="2"/>
  <c r="S192" i="2"/>
  <c r="R192" i="2"/>
  <c r="T192" i="2" s="1"/>
  <c r="K192" i="2"/>
  <c r="J192" i="2"/>
  <c r="X191" i="2"/>
  <c r="U191" i="2"/>
  <c r="S191" i="2"/>
  <c r="R191" i="2"/>
  <c r="T191" i="2" s="1"/>
  <c r="K191" i="2"/>
  <c r="J191" i="2"/>
  <c r="X190" i="2"/>
  <c r="U190" i="2"/>
  <c r="S190" i="2"/>
  <c r="R190" i="2"/>
  <c r="T190" i="2" s="1"/>
  <c r="K190" i="2"/>
  <c r="J190" i="2"/>
  <c r="X189" i="2"/>
  <c r="U189" i="2"/>
  <c r="S189" i="2"/>
  <c r="R189" i="2"/>
  <c r="T189" i="2" s="1"/>
  <c r="K189" i="2"/>
  <c r="J189" i="2"/>
  <c r="X188" i="2"/>
  <c r="U188" i="2"/>
  <c r="S188" i="2"/>
  <c r="R188" i="2"/>
  <c r="T188" i="2" s="1"/>
  <c r="K188" i="2"/>
  <c r="J188" i="2"/>
  <c r="X187" i="2"/>
  <c r="U187" i="2"/>
  <c r="S187" i="2"/>
  <c r="R187" i="2"/>
  <c r="T187" i="2" s="1"/>
  <c r="K187" i="2"/>
  <c r="J187" i="2"/>
  <c r="X186" i="2"/>
  <c r="U186" i="2"/>
  <c r="S186" i="2"/>
  <c r="R186" i="2"/>
  <c r="T186" i="2" s="1"/>
  <c r="K186" i="2"/>
  <c r="J186" i="2"/>
  <c r="X185" i="2"/>
  <c r="U185" i="2"/>
  <c r="S185" i="2"/>
  <c r="R185" i="2"/>
  <c r="T185" i="2" s="1"/>
  <c r="K185" i="2"/>
  <c r="J185" i="2"/>
  <c r="X184" i="2"/>
  <c r="U184" i="2"/>
  <c r="S184" i="2"/>
  <c r="R184" i="2"/>
  <c r="T184" i="2" s="1"/>
  <c r="K184" i="2"/>
  <c r="J184" i="2"/>
  <c r="X183" i="2"/>
  <c r="U183" i="2"/>
  <c r="S183" i="2"/>
  <c r="R183" i="2"/>
  <c r="T183" i="2" s="1"/>
  <c r="K183" i="2"/>
  <c r="J183" i="2"/>
  <c r="X182" i="2"/>
  <c r="U182" i="2"/>
  <c r="S182" i="2"/>
  <c r="R182" i="2"/>
  <c r="T182" i="2" s="1"/>
  <c r="K182" i="2"/>
  <c r="J182" i="2"/>
  <c r="X181" i="2"/>
  <c r="U181" i="2"/>
  <c r="S181" i="2"/>
  <c r="R181" i="2"/>
  <c r="T181" i="2" s="1"/>
  <c r="K181" i="2"/>
  <c r="J181" i="2"/>
  <c r="X180" i="2"/>
  <c r="U180" i="2"/>
  <c r="S180" i="2"/>
  <c r="R180" i="2"/>
  <c r="T180" i="2" s="1"/>
  <c r="K180" i="2"/>
  <c r="J180" i="2"/>
  <c r="X179" i="2"/>
  <c r="U179" i="2"/>
  <c r="S179" i="2"/>
  <c r="R179" i="2"/>
  <c r="T179" i="2" s="1"/>
  <c r="K179" i="2"/>
  <c r="J179" i="2"/>
  <c r="X178" i="2"/>
  <c r="U178" i="2"/>
  <c r="S178" i="2"/>
  <c r="R178" i="2"/>
  <c r="T178" i="2" s="1"/>
  <c r="K178" i="2"/>
  <c r="J178" i="2"/>
  <c r="X177" i="2"/>
  <c r="U177" i="2"/>
  <c r="S177" i="2"/>
  <c r="R177" i="2"/>
  <c r="T177" i="2" s="1"/>
  <c r="K177" i="2"/>
  <c r="J177" i="2"/>
  <c r="X176" i="2"/>
  <c r="U176" i="2"/>
  <c r="S176" i="2"/>
  <c r="R176" i="2"/>
  <c r="T176" i="2" s="1"/>
  <c r="K176" i="2"/>
  <c r="J176" i="2"/>
  <c r="X175" i="2"/>
  <c r="U175" i="2"/>
  <c r="S175" i="2"/>
  <c r="R175" i="2"/>
  <c r="T175" i="2" s="1"/>
  <c r="K175" i="2"/>
  <c r="J175" i="2"/>
  <c r="X174" i="2"/>
  <c r="U174" i="2"/>
  <c r="S174" i="2"/>
  <c r="R174" i="2"/>
  <c r="T174" i="2" s="1"/>
  <c r="K174" i="2"/>
  <c r="J174" i="2"/>
  <c r="X173" i="2"/>
  <c r="U173" i="2"/>
  <c r="S173" i="2"/>
  <c r="R173" i="2"/>
  <c r="T173" i="2" s="1"/>
  <c r="K173" i="2"/>
  <c r="J173" i="2"/>
  <c r="X172" i="2"/>
  <c r="U172" i="2"/>
  <c r="S172" i="2"/>
  <c r="R172" i="2"/>
  <c r="T172" i="2" s="1"/>
  <c r="K172" i="2"/>
  <c r="J172" i="2"/>
  <c r="X171" i="2"/>
  <c r="U171" i="2"/>
  <c r="S171" i="2"/>
  <c r="R171" i="2"/>
  <c r="T171" i="2" s="1"/>
  <c r="K171" i="2"/>
  <c r="J171" i="2"/>
  <c r="X170" i="2"/>
  <c r="U170" i="2"/>
  <c r="S170" i="2"/>
  <c r="R170" i="2"/>
  <c r="T170" i="2" s="1"/>
  <c r="K170" i="2"/>
  <c r="J170" i="2"/>
  <c r="X169" i="2"/>
  <c r="U169" i="2"/>
  <c r="S169" i="2"/>
  <c r="R169" i="2"/>
  <c r="T169" i="2" s="1"/>
  <c r="K169" i="2"/>
  <c r="J169" i="2"/>
  <c r="X168" i="2"/>
  <c r="U168" i="2"/>
  <c r="S168" i="2"/>
  <c r="R168" i="2"/>
  <c r="T168" i="2" s="1"/>
  <c r="K168" i="2"/>
  <c r="J168" i="2"/>
  <c r="X167" i="2"/>
  <c r="U167" i="2"/>
  <c r="S167" i="2"/>
  <c r="R167" i="2"/>
  <c r="T167" i="2" s="1"/>
  <c r="K167" i="2"/>
  <c r="J167" i="2"/>
  <c r="X166" i="2"/>
  <c r="U166" i="2"/>
  <c r="S166" i="2"/>
  <c r="R166" i="2"/>
  <c r="T166" i="2" s="1"/>
  <c r="K166" i="2"/>
  <c r="J166" i="2"/>
  <c r="X165" i="2"/>
  <c r="U165" i="2"/>
  <c r="S165" i="2"/>
  <c r="R165" i="2"/>
  <c r="T165" i="2" s="1"/>
  <c r="K165" i="2"/>
  <c r="J165" i="2"/>
  <c r="X164" i="2"/>
  <c r="U164" i="2"/>
  <c r="S164" i="2"/>
  <c r="R164" i="2"/>
  <c r="T164" i="2" s="1"/>
  <c r="K164" i="2"/>
  <c r="J164" i="2"/>
  <c r="X163" i="2"/>
  <c r="U163" i="2"/>
  <c r="S163" i="2"/>
  <c r="R163" i="2"/>
  <c r="T163" i="2" s="1"/>
  <c r="K163" i="2"/>
  <c r="J163" i="2"/>
  <c r="X162" i="2"/>
  <c r="U162" i="2"/>
  <c r="S162" i="2"/>
  <c r="R162" i="2"/>
  <c r="T162" i="2" s="1"/>
  <c r="K162" i="2"/>
  <c r="J162" i="2"/>
  <c r="X161" i="2"/>
  <c r="U161" i="2"/>
  <c r="S161" i="2"/>
  <c r="R161" i="2"/>
  <c r="T161" i="2" s="1"/>
  <c r="K161" i="2"/>
  <c r="J161" i="2"/>
  <c r="X160" i="2"/>
  <c r="U160" i="2"/>
  <c r="S160" i="2"/>
  <c r="R160" i="2"/>
  <c r="T160" i="2" s="1"/>
  <c r="K160" i="2"/>
  <c r="J160" i="2"/>
  <c r="X159" i="2"/>
  <c r="U159" i="2"/>
  <c r="S159" i="2"/>
  <c r="R159" i="2"/>
  <c r="T159" i="2" s="1"/>
  <c r="K159" i="2"/>
  <c r="J159" i="2"/>
  <c r="X158" i="2"/>
  <c r="U158" i="2"/>
  <c r="S158" i="2"/>
  <c r="R158" i="2"/>
  <c r="T158" i="2" s="1"/>
  <c r="K158" i="2"/>
  <c r="J158" i="2"/>
  <c r="X157" i="2"/>
  <c r="U157" i="2"/>
  <c r="S157" i="2"/>
  <c r="R157" i="2"/>
  <c r="T157" i="2" s="1"/>
  <c r="K157" i="2"/>
  <c r="J157" i="2"/>
  <c r="X156" i="2"/>
  <c r="U156" i="2"/>
  <c r="S156" i="2"/>
  <c r="R156" i="2"/>
  <c r="T156" i="2" s="1"/>
  <c r="K156" i="2"/>
  <c r="J156" i="2"/>
  <c r="X155" i="2"/>
  <c r="U155" i="2"/>
  <c r="S155" i="2"/>
  <c r="R155" i="2"/>
  <c r="T155" i="2" s="1"/>
  <c r="K155" i="2"/>
  <c r="J155" i="2"/>
  <c r="X154" i="2"/>
  <c r="U154" i="2"/>
  <c r="S154" i="2"/>
  <c r="R154" i="2"/>
  <c r="T154" i="2" s="1"/>
  <c r="K154" i="2"/>
  <c r="J154" i="2"/>
  <c r="X153" i="2"/>
  <c r="U153" i="2"/>
  <c r="S153" i="2"/>
  <c r="R153" i="2"/>
  <c r="T153" i="2" s="1"/>
  <c r="K153" i="2"/>
  <c r="J153" i="2"/>
  <c r="X152" i="2"/>
  <c r="U152" i="2"/>
  <c r="S152" i="2"/>
  <c r="R152" i="2"/>
  <c r="T152" i="2" s="1"/>
  <c r="K152" i="2"/>
  <c r="J152" i="2"/>
  <c r="X151" i="2"/>
  <c r="U151" i="2"/>
  <c r="S151" i="2"/>
  <c r="R151" i="2"/>
  <c r="T151" i="2" s="1"/>
  <c r="K151" i="2"/>
  <c r="J151" i="2"/>
  <c r="X150" i="2"/>
  <c r="U150" i="2"/>
  <c r="S150" i="2"/>
  <c r="R150" i="2"/>
  <c r="T150" i="2" s="1"/>
  <c r="K150" i="2"/>
  <c r="J150" i="2"/>
  <c r="X149" i="2"/>
  <c r="U149" i="2"/>
  <c r="S149" i="2"/>
  <c r="R149" i="2"/>
  <c r="T149" i="2" s="1"/>
  <c r="K149" i="2"/>
  <c r="J149" i="2"/>
  <c r="X148" i="2"/>
  <c r="U148" i="2"/>
  <c r="S148" i="2"/>
  <c r="R148" i="2"/>
  <c r="T148" i="2" s="1"/>
  <c r="K148" i="2"/>
  <c r="J148" i="2"/>
  <c r="X147" i="2"/>
  <c r="U147" i="2"/>
  <c r="S147" i="2"/>
  <c r="R147" i="2"/>
  <c r="T147" i="2" s="1"/>
  <c r="K147" i="2"/>
  <c r="J147" i="2"/>
  <c r="X146" i="2"/>
  <c r="U146" i="2"/>
  <c r="S146" i="2"/>
  <c r="R146" i="2"/>
  <c r="T146" i="2" s="1"/>
  <c r="K146" i="2"/>
  <c r="J146" i="2"/>
  <c r="X145" i="2"/>
  <c r="U145" i="2"/>
  <c r="S145" i="2"/>
  <c r="R145" i="2"/>
  <c r="T145" i="2" s="1"/>
  <c r="K145" i="2"/>
  <c r="J145" i="2"/>
  <c r="X144" i="2"/>
  <c r="U144" i="2"/>
  <c r="S144" i="2"/>
  <c r="R144" i="2"/>
  <c r="T144" i="2" s="1"/>
  <c r="K144" i="2"/>
  <c r="J144" i="2"/>
  <c r="X143" i="2"/>
  <c r="U143" i="2"/>
  <c r="S143" i="2"/>
  <c r="R143" i="2"/>
  <c r="T143" i="2" s="1"/>
  <c r="K143" i="2"/>
  <c r="J143" i="2"/>
  <c r="X142" i="2"/>
  <c r="U142" i="2"/>
  <c r="S142" i="2"/>
  <c r="R142" i="2"/>
  <c r="T142" i="2" s="1"/>
  <c r="K142" i="2"/>
  <c r="J142" i="2"/>
  <c r="X141" i="2"/>
  <c r="U141" i="2"/>
  <c r="S141" i="2"/>
  <c r="R141" i="2"/>
  <c r="T141" i="2" s="1"/>
  <c r="K141" i="2"/>
  <c r="J141" i="2"/>
  <c r="X140" i="2"/>
  <c r="U140" i="2"/>
  <c r="S140" i="2"/>
  <c r="R140" i="2"/>
  <c r="T140" i="2" s="1"/>
  <c r="K140" i="2"/>
  <c r="J140" i="2"/>
  <c r="X139" i="2"/>
  <c r="U139" i="2"/>
  <c r="S139" i="2"/>
  <c r="R139" i="2"/>
  <c r="T139" i="2" s="1"/>
  <c r="K139" i="2"/>
  <c r="J139" i="2"/>
  <c r="X138" i="2"/>
  <c r="U138" i="2"/>
  <c r="S138" i="2"/>
  <c r="R138" i="2"/>
  <c r="T138" i="2" s="1"/>
  <c r="K138" i="2"/>
  <c r="J138" i="2"/>
  <c r="X137" i="2"/>
  <c r="U137" i="2"/>
  <c r="S137" i="2"/>
  <c r="R137" i="2"/>
  <c r="T137" i="2" s="1"/>
  <c r="K137" i="2"/>
  <c r="J137" i="2"/>
  <c r="X136" i="2"/>
  <c r="U136" i="2"/>
  <c r="S136" i="2"/>
  <c r="R136" i="2"/>
  <c r="T136" i="2" s="1"/>
  <c r="K136" i="2"/>
  <c r="J136" i="2"/>
  <c r="X135" i="2"/>
  <c r="U135" i="2"/>
  <c r="S135" i="2"/>
  <c r="R135" i="2"/>
  <c r="T135" i="2" s="1"/>
  <c r="K135" i="2"/>
  <c r="J135" i="2"/>
  <c r="X134" i="2"/>
  <c r="U134" i="2"/>
  <c r="S134" i="2"/>
  <c r="R134" i="2"/>
  <c r="T134" i="2" s="1"/>
  <c r="K134" i="2"/>
  <c r="J134" i="2"/>
  <c r="X133" i="2"/>
  <c r="U133" i="2"/>
  <c r="S133" i="2"/>
  <c r="R133" i="2"/>
  <c r="T133" i="2" s="1"/>
  <c r="K133" i="2"/>
  <c r="J133" i="2"/>
  <c r="X132" i="2"/>
  <c r="U132" i="2"/>
  <c r="S132" i="2"/>
  <c r="R132" i="2"/>
  <c r="T132" i="2" s="1"/>
  <c r="K132" i="2"/>
  <c r="J132" i="2"/>
  <c r="X131" i="2"/>
  <c r="U131" i="2"/>
  <c r="S131" i="2"/>
  <c r="R131" i="2"/>
  <c r="T131" i="2" s="1"/>
  <c r="K131" i="2"/>
  <c r="J131" i="2"/>
  <c r="X130" i="2"/>
  <c r="U130" i="2"/>
  <c r="S130" i="2"/>
  <c r="R130" i="2"/>
  <c r="T130" i="2" s="1"/>
  <c r="K130" i="2"/>
  <c r="J130" i="2"/>
  <c r="X129" i="2"/>
  <c r="U129" i="2"/>
  <c r="S129" i="2"/>
  <c r="R129" i="2"/>
  <c r="T129" i="2" s="1"/>
  <c r="K129" i="2"/>
  <c r="J129" i="2"/>
  <c r="X128" i="2"/>
  <c r="U128" i="2"/>
  <c r="S128" i="2"/>
  <c r="R128" i="2"/>
  <c r="T128" i="2" s="1"/>
  <c r="K128" i="2"/>
  <c r="J128" i="2"/>
  <c r="X127" i="2"/>
  <c r="U127" i="2"/>
  <c r="S127" i="2"/>
  <c r="R127" i="2"/>
  <c r="T127" i="2" s="1"/>
  <c r="K127" i="2"/>
  <c r="J127" i="2"/>
  <c r="X126" i="2"/>
  <c r="U126" i="2"/>
  <c r="S126" i="2"/>
  <c r="R126" i="2"/>
  <c r="T126" i="2" s="1"/>
  <c r="K126" i="2"/>
  <c r="J126" i="2"/>
  <c r="X125" i="2"/>
  <c r="U125" i="2"/>
  <c r="S125" i="2"/>
  <c r="R125" i="2"/>
  <c r="T125" i="2" s="1"/>
  <c r="K125" i="2"/>
  <c r="J125" i="2"/>
  <c r="X124" i="2"/>
  <c r="U124" i="2"/>
  <c r="S124" i="2"/>
  <c r="R124" i="2"/>
  <c r="T124" i="2" s="1"/>
  <c r="K124" i="2"/>
  <c r="J124" i="2"/>
  <c r="X123" i="2"/>
  <c r="U123" i="2"/>
  <c r="S123" i="2"/>
  <c r="R123" i="2"/>
  <c r="T123" i="2" s="1"/>
  <c r="K123" i="2"/>
  <c r="J123" i="2"/>
  <c r="X122" i="2"/>
  <c r="U122" i="2"/>
  <c r="S122" i="2"/>
  <c r="R122" i="2"/>
  <c r="T122" i="2" s="1"/>
  <c r="K122" i="2"/>
  <c r="J122" i="2"/>
  <c r="X121" i="2"/>
  <c r="U121" i="2"/>
  <c r="S121" i="2"/>
  <c r="R121" i="2"/>
  <c r="T121" i="2" s="1"/>
  <c r="K121" i="2"/>
  <c r="J121" i="2"/>
  <c r="X120" i="2"/>
  <c r="U120" i="2"/>
  <c r="S120" i="2"/>
  <c r="R120" i="2"/>
  <c r="T120" i="2" s="1"/>
  <c r="K120" i="2"/>
  <c r="J120" i="2"/>
  <c r="X119" i="2"/>
  <c r="U119" i="2"/>
  <c r="S119" i="2"/>
  <c r="R119" i="2"/>
  <c r="T119" i="2" s="1"/>
  <c r="K119" i="2"/>
  <c r="J119" i="2"/>
  <c r="X118" i="2"/>
  <c r="U118" i="2"/>
  <c r="S118" i="2"/>
  <c r="R118" i="2"/>
  <c r="T118" i="2" s="1"/>
  <c r="K118" i="2"/>
  <c r="J118" i="2"/>
  <c r="X117" i="2"/>
  <c r="U117" i="2"/>
  <c r="S117" i="2"/>
  <c r="R117" i="2"/>
  <c r="T117" i="2" s="1"/>
  <c r="K117" i="2"/>
  <c r="J117" i="2"/>
  <c r="X116" i="2"/>
  <c r="U116" i="2"/>
  <c r="S116" i="2"/>
  <c r="R116" i="2"/>
  <c r="T116" i="2" s="1"/>
  <c r="K116" i="2"/>
  <c r="J116" i="2"/>
  <c r="X115" i="2"/>
  <c r="U115" i="2"/>
  <c r="S115" i="2"/>
  <c r="R115" i="2"/>
  <c r="T115" i="2" s="1"/>
  <c r="K115" i="2"/>
  <c r="J115" i="2"/>
  <c r="X114" i="2"/>
  <c r="U114" i="2"/>
  <c r="S114" i="2"/>
  <c r="R114" i="2"/>
  <c r="T114" i="2" s="1"/>
  <c r="K114" i="2"/>
  <c r="J114" i="2"/>
  <c r="X113" i="2"/>
  <c r="U113" i="2"/>
  <c r="S113" i="2"/>
  <c r="R113" i="2"/>
  <c r="T113" i="2" s="1"/>
  <c r="K113" i="2"/>
  <c r="J113" i="2"/>
  <c r="X112" i="2"/>
  <c r="U112" i="2"/>
  <c r="S112" i="2"/>
  <c r="R112" i="2"/>
  <c r="T112" i="2" s="1"/>
  <c r="K112" i="2"/>
  <c r="J112" i="2"/>
  <c r="X111" i="2"/>
  <c r="U111" i="2"/>
  <c r="S111" i="2"/>
  <c r="R111" i="2"/>
  <c r="T111" i="2" s="1"/>
  <c r="K111" i="2"/>
  <c r="J111" i="2"/>
  <c r="X110" i="2"/>
  <c r="U110" i="2"/>
  <c r="S110" i="2"/>
  <c r="R110" i="2"/>
  <c r="T110" i="2" s="1"/>
  <c r="K110" i="2"/>
  <c r="J110" i="2"/>
  <c r="X109" i="2"/>
  <c r="U109" i="2"/>
  <c r="S109" i="2"/>
  <c r="R109" i="2"/>
  <c r="T109" i="2" s="1"/>
  <c r="K109" i="2"/>
  <c r="J109" i="2"/>
  <c r="X108" i="2"/>
  <c r="U108" i="2"/>
  <c r="S108" i="2"/>
  <c r="R108" i="2"/>
  <c r="T108" i="2" s="1"/>
  <c r="K108" i="2"/>
  <c r="J108" i="2"/>
  <c r="X107" i="2"/>
  <c r="U107" i="2"/>
  <c r="S107" i="2"/>
  <c r="R107" i="2"/>
  <c r="T107" i="2" s="1"/>
  <c r="K107" i="2"/>
  <c r="J107" i="2"/>
  <c r="X106" i="2"/>
  <c r="U106" i="2"/>
  <c r="S106" i="2"/>
  <c r="R106" i="2"/>
  <c r="T106" i="2" s="1"/>
  <c r="K106" i="2"/>
  <c r="J106" i="2"/>
  <c r="X105" i="2"/>
  <c r="U105" i="2"/>
  <c r="S105" i="2"/>
  <c r="R105" i="2"/>
  <c r="T105" i="2" s="1"/>
  <c r="K105" i="2"/>
  <c r="J105" i="2"/>
  <c r="X104" i="2"/>
  <c r="U104" i="2"/>
  <c r="S104" i="2"/>
  <c r="R104" i="2"/>
  <c r="T104" i="2" s="1"/>
  <c r="K104" i="2"/>
  <c r="J104" i="2"/>
  <c r="X103" i="2"/>
  <c r="U103" i="2"/>
  <c r="S103" i="2"/>
  <c r="R103" i="2"/>
  <c r="T103" i="2" s="1"/>
  <c r="K103" i="2"/>
  <c r="J103" i="2"/>
  <c r="X102" i="2"/>
  <c r="U102" i="2"/>
  <c r="S102" i="2"/>
  <c r="R102" i="2"/>
  <c r="T102" i="2" s="1"/>
  <c r="K102" i="2"/>
  <c r="J102" i="2"/>
  <c r="X101" i="2"/>
  <c r="U101" i="2"/>
  <c r="S101" i="2"/>
  <c r="R101" i="2"/>
  <c r="T101" i="2" s="1"/>
  <c r="K101" i="2"/>
  <c r="J101" i="2"/>
  <c r="X100" i="2"/>
  <c r="U100" i="2"/>
  <c r="S100" i="2"/>
  <c r="R100" i="2"/>
  <c r="T100" i="2" s="1"/>
  <c r="K100" i="2"/>
  <c r="J100" i="2"/>
  <c r="X99" i="2"/>
  <c r="U99" i="2"/>
  <c r="S99" i="2"/>
  <c r="R99" i="2"/>
  <c r="T99" i="2" s="1"/>
  <c r="K99" i="2"/>
  <c r="J99" i="2"/>
  <c r="X98" i="2"/>
  <c r="U98" i="2"/>
  <c r="S98" i="2"/>
  <c r="R98" i="2"/>
  <c r="T98" i="2" s="1"/>
  <c r="K98" i="2"/>
  <c r="J98" i="2"/>
  <c r="X97" i="2"/>
  <c r="U97" i="2"/>
  <c r="S97" i="2"/>
  <c r="R97" i="2"/>
  <c r="T97" i="2" s="1"/>
  <c r="K97" i="2"/>
  <c r="J97" i="2"/>
  <c r="X96" i="2"/>
  <c r="U96" i="2"/>
  <c r="S96" i="2"/>
  <c r="R96" i="2"/>
  <c r="T96" i="2" s="1"/>
  <c r="K96" i="2"/>
  <c r="J96" i="2"/>
  <c r="X95" i="2"/>
  <c r="U95" i="2"/>
  <c r="S95" i="2"/>
  <c r="R95" i="2"/>
  <c r="T95" i="2" s="1"/>
  <c r="K95" i="2"/>
  <c r="J95" i="2"/>
  <c r="X94" i="2"/>
  <c r="U94" i="2"/>
  <c r="S94" i="2"/>
  <c r="R94" i="2"/>
  <c r="T94" i="2" s="1"/>
  <c r="K94" i="2"/>
  <c r="J94" i="2"/>
  <c r="X93" i="2"/>
  <c r="U93" i="2"/>
  <c r="S93" i="2"/>
  <c r="R93" i="2"/>
  <c r="T93" i="2" s="1"/>
  <c r="K93" i="2"/>
  <c r="J93" i="2"/>
  <c r="X92" i="2"/>
  <c r="U92" i="2"/>
  <c r="S92" i="2"/>
  <c r="R92" i="2"/>
  <c r="T92" i="2" s="1"/>
  <c r="K92" i="2"/>
  <c r="J92" i="2"/>
  <c r="X91" i="2"/>
  <c r="U91" i="2"/>
  <c r="S91" i="2"/>
  <c r="R91" i="2"/>
  <c r="T91" i="2" s="1"/>
  <c r="K91" i="2"/>
  <c r="J91" i="2"/>
  <c r="X90" i="2"/>
  <c r="U90" i="2"/>
  <c r="S90" i="2"/>
  <c r="R90" i="2"/>
  <c r="T90" i="2" s="1"/>
  <c r="K90" i="2"/>
  <c r="J90" i="2"/>
  <c r="X89" i="2"/>
  <c r="U89" i="2"/>
  <c r="S89" i="2"/>
  <c r="R89" i="2"/>
  <c r="T89" i="2" s="1"/>
  <c r="K89" i="2"/>
  <c r="J89" i="2"/>
  <c r="X88" i="2"/>
  <c r="U88" i="2"/>
  <c r="S88" i="2"/>
  <c r="R88" i="2"/>
  <c r="T88" i="2" s="1"/>
  <c r="K88" i="2"/>
  <c r="J88" i="2"/>
  <c r="X87" i="2"/>
  <c r="U87" i="2"/>
  <c r="S87" i="2"/>
  <c r="R87" i="2"/>
  <c r="T87" i="2" s="1"/>
  <c r="K87" i="2"/>
  <c r="J87" i="2"/>
  <c r="X86" i="2"/>
  <c r="U86" i="2"/>
  <c r="S86" i="2"/>
  <c r="R86" i="2"/>
  <c r="T86" i="2" s="1"/>
  <c r="K86" i="2"/>
  <c r="J86" i="2"/>
  <c r="X85" i="2"/>
  <c r="U85" i="2"/>
  <c r="S85" i="2"/>
  <c r="R85" i="2"/>
  <c r="T85" i="2" s="1"/>
  <c r="K85" i="2"/>
  <c r="J85" i="2"/>
  <c r="X84" i="2"/>
  <c r="U84" i="2"/>
  <c r="S84" i="2"/>
  <c r="R84" i="2"/>
  <c r="T84" i="2" s="1"/>
  <c r="K84" i="2"/>
  <c r="J84" i="2"/>
  <c r="X83" i="2"/>
  <c r="U83" i="2"/>
  <c r="S83" i="2"/>
  <c r="R83" i="2"/>
  <c r="T83" i="2" s="1"/>
  <c r="K83" i="2"/>
  <c r="J83" i="2"/>
  <c r="X82" i="2"/>
  <c r="U82" i="2"/>
  <c r="S82" i="2"/>
  <c r="R82" i="2"/>
  <c r="T82" i="2" s="1"/>
  <c r="K82" i="2"/>
  <c r="J82" i="2"/>
  <c r="X81" i="2"/>
  <c r="U81" i="2"/>
  <c r="S81" i="2"/>
  <c r="R81" i="2"/>
  <c r="T81" i="2" s="1"/>
  <c r="K81" i="2"/>
  <c r="J81" i="2"/>
  <c r="X80" i="2"/>
  <c r="U80" i="2"/>
  <c r="S80" i="2"/>
  <c r="R80" i="2"/>
  <c r="T80" i="2" s="1"/>
  <c r="K80" i="2"/>
  <c r="J80" i="2"/>
  <c r="X79" i="2"/>
  <c r="U79" i="2"/>
  <c r="S79" i="2"/>
  <c r="R79" i="2"/>
  <c r="T79" i="2" s="1"/>
  <c r="K79" i="2"/>
  <c r="J79" i="2"/>
  <c r="X78" i="2"/>
  <c r="U78" i="2"/>
  <c r="S78" i="2"/>
  <c r="R78" i="2"/>
  <c r="T78" i="2" s="1"/>
  <c r="K78" i="2"/>
  <c r="J78" i="2"/>
  <c r="X77" i="2"/>
  <c r="U77" i="2"/>
  <c r="S77" i="2"/>
  <c r="R77" i="2"/>
  <c r="T77" i="2" s="1"/>
  <c r="K77" i="2"/>
  <c r="J77" i="2"/>
  <c r="X76" i="2"/>
  <c r="U76" i="2"/>
  <c r="S76" i="2"/>
  <c r="R76" i="2"/>
  <c r="T76" i="2" s="1"/>
  <c r="K76" i="2"/>
  <c r="J76" i="2"/>
  <c r="X75" i="2"/>
  <c r="U75" i="2"/>
  <c r="S75" i="2"/>
  <c r="R75" i="2"/>
  <c r="T75" i="2" s="1"/>
  <c r="K75" i="2"/>
  <c r="J75" i="2"/>
  <c r="X74" i="2"/>
  <c r="U74" i="2"/>
  <c r="S74" i="2"/>
  <c r="R74" i="2"/>
  <c r="T74" i="2" s="1"/>
  <c r="K74" i="2"/>
  <c r="J74" i="2"/>
  <c r="X73" i="2"/>
  <c r="U73" i="2"/>
  <c r="S73" i="2"/>
  <c r="R73" i="2"/>
  <c r="T73" i="2" s="1"/>
  <c r="K73" i="2"/>
  <c r="J73" i="2"/>
  <c r="X72" i="2"/>
  <c r="U72" i="2"/>
  <c r="S72" i="2"/>
  <c r="R72" i="2"/>
  <c r="T72" i="2" s="1"/>
  <c r="K72" i="2"/>
  <c r="J72" i="2"/>
  <c r="X71" i="2"/>
  <c r="U71" i="2"/>
  <c r="S71" i="2"/>
  <c r="R71" i="2"/>
  <c r="T71" i="2" s="1"/>
  <c r="K71" i="2"/>
  <c r="J71" i="2"/>
  <c r="X70" i="2"/>
  <c r="U70" i="2"/>
  <c r="S70" i="2"/>
  <c r="R70" i="2"/>
  <c r="T70" i="2" s="1"/>
  <c r="K70" i="2"/>
  <c r="J70" i="2"/>
  <c r="X69" i="2"/>
  <c r="U69" i="2"/>
  <c r="S69" i="2"/>
  <c r="R69" i="2"/>
  <c r="T69" i="2" s="1"/>
  <c r="K69" i="2"/>
  <c r="J69" i="2"/>
  <c r="X68" i="2"/>
  <c r="U68" i="2"/>
  <c r="S68" i="2"/>
  <c r="R68" i="2"/>
  <c r="T68" i="2" s="1"/>
  <c r="K68" i="2"/>
  <c r="J68" i="2"/>
  <c r="X67" i="2"/>
  <c r="U67" i="2"/>
  <c r="S67" i="2"/>
  <c r="R67" i="2"/>
  <c r="T67" i="2" s="1"/>
  <c r="K67" i="2"/>
  <c r="J67" i="2"/>
  <c r="X66" i="2"/>
  <c r="U66" i="2"/>
  <c r="S66" i="2"/>
  <c r="R66" i="2"/>
  <c r="T66" i="2" s="1"/>
  <c r="K66" i="2"/>
  <c r="J66" i="2"/>
  <c r="X65" i="2"/>
  <c r="U65" i="2"/>
  <c r="S65" i="2"/>
  <c r="R65" i="2"/>
  <c r="T65" i="2" s="1"/>
  <c r="K65" i="2"/>
  <c r="J65" i="2"/>
  <c r="X64" i="2"/>
  <c r="U64" i="2"/>
  <c r="S64" i="2"/>
  <c r="R64" i="2"/>
  <c r="T64" i="2" s="1"/>
  <c r="K64" i="2"/>
  <c r="J64" i="2"/>
  <c r="X63" i="2"/>
  <c r="U63" i="2"/>
  <c r="S63" i="2"/>
  <c r="R63" i="2"/>
  <c r="T63" i="2" s="1"/>
  <c r="K63" i="2"/>
  <c r="J63" i="2"/>
  <c r="X62" i="2"/>
  <c r="U62" i="2"/>
  <c r="S62" i="2"/>
  <c r="R62" i="2"/>
  <c r="T62" i="2" s="1"/>
  <c r="K62" i="2"/>
  <c r="J62" i="2"/>
  <c r="X61" i="2"/>
  <c r="U61" i="2"/>
  <c r="S61" i="2"/>
  <c r="R61" i="2"/>
  <c r="T61" i="2" s="1"/>
  <c r="K61" i="2"/>
  <c r="J61" i="2"/>
  <c r="X60" i="2"/>
  <c r="U60" i="2"/>
  <c r="S60" i="2"/>
  <c r="R60" i="2"/>
  <c r="T60" i="2" s="1"/>
  <c r="K60" i="2"/>
  <c r="J60" i="2"/>
  <c r="X59" i="2"/>
  <c r="U59" i="2"/>
  <c r="S59" i="2"/>
  <c r="R59" i="2"/>
  <c r="T59" i="2" s="1"/>
  <c r="K59" i="2"/>
  <c r="J59" i="2"/>
  <c r="X58" i="2"/>
  <c r="U58" i="2"/>
  <c r="S58" i="2"/>
  <c r="R58" i="2"/>
  <c r="T58" i="2" s="1"/>
  <c r="K58" i="2"/>
  <c r="J58" i="2"/>
  <c r="X57" i="2"/>
  <c r="U57" i="2"/>
  <c r="S57" i="2"/>
  <c r="R57" i="2"/>
  <c r="T57" i="2" s="1"/>
  <c r="K57" i="2"/>
  <c r="J57" i="2"/>
  <c r="X56" i="2"/>
  <c r="U56" i="2"/>
  <c r="S56" i="2"/>
  <c r="R56" i="2"/>
  <c r="T56" i="2" s="1"/>
  <c r="K56" i="2"/>
  <c r="J56" i="2"/>
  <c r="X55" i="2"/>
  <c r="U55" i="2"/>
  <c r="S55" i="2"/>
  <c r="R55" i="2"/>
  <c r="T55" i="2" s="1"/>
  <c r="K55" i="2"/>
  <c r="J55" i="2"/>
  <c r="X54" i="2"/>
  <c r="U54" i="2"/>
  <c r="S54" i="2"/>
  <c r="R54" i="2"/>
  <c r="T54" i="2" s="1"/>
  <c r="K54" i="2"/>
  <c r="J54" i="2"/>
  <c r="X53" i="2"/>
  <c r="U53" i="2"/>
  <c r="S53" i="2"/>
  <c r="R53" i="2"/>
  <c r="T53" i="2" s="1"/>
  <c r="K53" i="2"/>
  <c r="J53" i="2"/>
  <c r="X52" i="2"/>
  <c r="U52" i="2"/>
  <c r="K52" i="2"/>
  <c r="J52" i="2"/>
  <c r="X51" i="2"/>
  <c r="U51" i="2"/>
  <c r="K51" i="2"/>
  <c r="J51" i="2"/>
  <c r="X50" i="2"/>
  <c r="U50" i="2"/>
  <c r="K50" i="2"/>
  <c r="J50" i="2"/>
  <c r="X49" i="2"/>
  <c r="U49" i="2"/>
  <c r="K49" i="2"/>
  <c r="J49" i="2"/>
  <c r="X48" i="2"/>
  <c r="U48" i="2"/>
  <c r="K48" i="2"/>
  <c r="J48" i="2"/>
  <c r="X47" i="2"/>
  <c r="U47" i="2"/>
  <c r="K47" i="2"/>
  <c r="J47" i="2"/>
  <c r="X46" i="2"/>
  <c r="U46" i="2"/>
  <c r="K46" i="2"/>
  <c r="J46" i="2"/>
  <c r="X45" i="2"/>
  <c r="U45" i="2"/>
  <c r="K45" i="2"/>
  <c r="J45" i="2"/>
  <c r="X44" i="2"/>
  <c r="U44" i="2"/>
  <c r="K44" i="2"/>
  <c r="J44" i="2"/>
  <c r="X43" i="2"/>
  <c r="U43" i="2"/>
  <c r="K43" i="2"/>
  <c r="J43" i="2"/>
  <c r="X42" i="2"/>
  <c r="U42" i="2"/>
  <c r="K42" i="2"/>
  <c r="J42" i="2"/>
  <c r="X41" i="2"/>
  <c r="U41" i="2"/>
  <c r="K41" i="2"/>
  <c r="J41" i="2"/>
  <c r="X40" i="2"/>
  <c r="U40" i="2"/>
  <c r="J40" i="2"/>
  <c r="X39" i="2"/>
  <c r="U39" i="2"/>
  <c r="J39" i="2"/>
  <c r="X38" i="2"/>
  <c r="U38" i="2"/>
  <c r="J38" i="2"/>
  <c r="X37" i="2"/>
  <c r="U37" i="2"/>
  <c r="K37" i="2"/>
  <c r="J37" i="2"/>
  <c r="X36" i="2"/>
  <c r="U36" i="2"/>
  <c r="K36" i="2"/>
  <c r="J36" i="2"/>
  <c r="X35" i="2"/>
  <c r="U35" i="2"/>
  <c r="K35" i="2"/>
  <c r="J35" i="2"/>
  <c r="X34" i="2"/>
  <c r="U34" i="2"/>
  <c r="K34" i="2"/>
  <c r="J34" i="2"/>
  <c r="S34" i="2" s="1"/>
  <c r="X33" i="2"/>
  <c r="U33" i="2"/>
  <c r="K33" i="2"/>
  <c r="J33" i="2"/>
  <c r="R33" i="2" s="1"/>
  <c r="X32" i="2"/>
  <c r="U32" i="2"/>
  <c r="K32" i="2"/>
  <c r="J32" i="2"/>
  <c r="S32" i="2" s="1"/>
  <c r="X31" i="2"/>
  <c r="U31" i="2"/>
  <c r="K31" i="2"/>
  <c r="S31" i="2"/>
  <c r="X30" i="2"/>
  <c r="U30" i="2"/>
  <c r="K30" i="2"/>
  <c r="J30" i="2"/>
  <c r="S30" i="2" s="1"/>
  <c r="X29" i="2"/>
  <c r="U29" i="2"/>
  <c r="K29" i="2"/>
  <c r="X28" i="2"/>
  <c r="U28" i="2"/>
  <c r="K28" i="2"/>
  <c r="X27" i="2"/>
  <c r="U27" i="2"/>
  <c r="K27" i="2"/>
  <c r="X26" i="2"/>
  <c r="U26" i="2"/>
  <c r="K26" i="2"/>
  <c r="X25" i="2"/>
  <c r="U25" i="2"/>
  <c r="K25" i="2"/>
  <c r="X24" i="2"/>
  <c r="U24" i="2"/>
  <c r="K24" i="2"/>
  <c r="X23" i="2"/>
  <c r="U23" i="2"/>
  <c r="K23" i="2"/>
  <c r="X22" i="2"/>
  <c r="U22" i="2"/>
  <c r="K22" i="2"/>
  <c r="X21" i="2"/>
  <c r="U21" i="2"/>
  <c r="S21" i="2"/>
  <c r="K21" i="2"/>
  <c r="X20" i="2"/>
  <c r="U20" i="2"/>
  <c r="K20" i="2"/>
  <c r="S20" i="2"/>
  <c r="X19" i="2"/>
  <c r="U19" i="2"/>
  <c r="K19" i="2"/>
  <c r="X18" i="2"/>
  <c r="U18" i="2"/>
  <c r="X17" i="2"/>
  <c r="U17" i="2"/>
  <c r="S17" i="2"/>
  <c r="R17" i="2"/>
  <c r="T17" i="2" s="1"/>
  <c r="X16" i="2"/>
  <c r="U16" i="2"/>
  <c r="S16" i="2"/>
  <c r="R16" i="2"/>
  <c r="K16" i="2"/>
  <c r="J16" i="2"/>
  <c r="X15" i="2"/>
  <c r="U15" i="2"/>
  <c r="K15" i="2"/>
  <c r="J15" i="2"/>
  <c r="S15" i="2" s="1"/>
  <c r="X14" i="2"/>
  <c r="U14" i="2"/>
  <c r="K14" i="2"/>
  <c r="J14" i="2"/>
  <c r="S14" i="2" s="1"/>
  <c r="X13" i="2"/>
  <c r="U13" i="2"/>
  <c r="K13" i="2"/>
  <c r="J13" i="2"/>
  <c r="S13" i="2" s="1"/>
  <c r="X12" i="2"/>
  <c r="U12" i="2"/>
  <c r="K12" i="2"/>
  <c r="J12" i="2"/>
  <c r="S12" i="2" s="1"/>
  <c r="X11" i="2"/>
  <c r="U11" i="2"/>
  <c r="R11" i="2"/>
  <c r="T11" i="2" s="1"/>
  <c r="K11" i="2"/>
  <c r="J11" i="2"/>
  <c r="S11" i="2" s="1"/>
  <c r="X10" i="2"/>
  <c r="U10" i="2"/>
  <c r="K10" i="2"/>
  <c r="J10" i="2"/>
  <c r="R10" i="2" s="1"/>
  <c r="X9" i="2"/>
  <c r="U9" i="2"/>
  <c r="K9" i="2"/>
  <c r="J9" i="2"/>
  <c r="S9" i="2" s="1"/>
  <c r="X8" i="2"/>
  <c r="U8" i="2"/>
  <c r="K8" i="2"/>
  <c r="J8" i="2"/>
  <c r="S8" i="2" s="1"/>
  <c r="X7" i="2"/>
  <c r="U7" i="2"/>
  <c r="K7" i="2"/>
  <c r="X6" i="2"/>
  <c r="U6" i="2"/>
  <c r="R6" i="2"/>
  <c r="K6" i="2"/>
  <c r="J6" i="2"/>
  <c r="S6" i="2" s="1"/>
  <c r="X5" i="2"/>
  <c r="U5" i="2"/>
  <c r="B14" i="6" s="1"/>
  <c r="K5" i="2"/>
  <c r="B11" i="6" s="1"/>
  <c r="B10" i="6"/>
  <c r="X4" i="2"/>
  <c r="U4" i="2"/>
  <c r="K4" i="2"/>
  <c r="J4" i="2"/>
  <c r="S4" i="2" s="1"/>
  <c r="X3" i="2"/>
  <c r="U3" i="2"/>
  <c r="K3" i="2"/>
  <c r="J3" i="2"/>
  <c r="S3" i="2" s="1"/>
  <c r="H33" i="1"/>
  <c r="G33" i="1"/>
  <c r="E33" i="1"/>
  <c r="D33" i="1"/>
  <c r="B33" i="1"/>
  <c r="A33" i="1"/>
  <c r="H32" i="1"/>
  <c r="G32" i="1"/>
  <c r="E32" i="1"/>
  <c r="D32" i="1"/>
  <c r="B32" i="1"/>
  <c r="A32" i="1"/>
  <c r="H31" i="1"/>
  <c r="G31" i="1"/>
  <c r="E31" i="1"/>
  <c r="D31" i="1"/>
  <c r="B31" i="1"/>
  <c r="A31" i="1"/>
  <c r="H30" i="1"/>
  <c r="G30" i="1"/>
  <c r="E30" i="1"/>
  <c r="D30" i="1"/>
  <c r="B30" i="1"/>
  <c r="A30" i="1"/>
  <c r="H29" i="1"/>
  <c r="G29" i="1"/>
  <c r="E29" i="1"/>
  <c r="D29" i="1"/>
  <c r="B29" i="1"/>
  <c r="A29" i="1"/>
  <c r="H28" i="1"/>
  <c r="G28" i="1"/>
  <c r="E28" i="1"/>
  <c r="D28" i="1"/>
  <c r="B28" i="1"/>
  <c r="A28" i="1"/>
  <c r="H27" i="1"/>
  <c r="G27" i="1"/>
  <c r="E27" i="1"/>
  <c r="D27" i="1"/>
  <c r="B27" i="1"/>
  <c r="A27" i="1"/>
  <c r="H26" i="1"/>
  <c r="G26" i="1"/>
  <c r="E26" i="1"/>
  <c r="D26" i="1"/>
  <c r="B26" i="1"/>
  <c r="A26" i="1"/>
  <c r="H25" i="1"/>
  <c r="G25" i="1"/>
  <c r="E25" i="1"/>
  <c r="D25" i="1"/>
  <c r="B25" i="1"/>
  <c r="A25" i="1"/>
  <c r="H24" i="1"/>
  <c r="G24" i="1"/>
  <c r="E24" i="1"/>
  <c r="D24" i="1"/>
  <c r="B24" i="1"/>
  <c r="A24" i="1"/>
  <c r="H23" i="1"/>
  <c r="G23" i="1"/>
  <c r="E23" i="1"/>
  <c r="D23" i="1"/>
  <c r="B23" i="1"/>
  <c r="A23" i="1"/>
  <c r="H22" i="1"/>
  <c r="G22" i="1"/>
  <c r="E22" i="1"/>
  <c r="D22" i="1"/>
  <c r="B22" i="1"/>
  <c r="A22" i="1"/>
  <c r="H21" i="1"/>
  <c r="G21" i="1"/>
  <c r="E21" i="1"/>
  <c r="D21" i="1"/>
  <c r="B21" i="1"/>
  <c r="A21" i="1"/>
  <c r="H20" i="1"/>
  <c r="G20" i="1"/>
  <c r="E20" i="1"/>
  <c r="D20" i="1"/>
  <c r="B20" i="1"/>
  <c r="A20" i="1"/>
  <c r="H19" i="1"/>
  <c r="G19" i="1"/>
  <c r="E19" i="1"/>
  <c r="D19" i="1"/>
  <c r="B19" i="1"/>
  <c r="A19" i="1"/>
  <c r="H18" i="1"/>
  <c r="G18" i="1"/>
  <c r="E18" i="1"/>
  <c r="D18" i="1"/>
  <c r="B18" i="1"/>
  <c r="A18" i="1"/>
  <c r="H17" i="1"/>
  <c r="G17" i="1"/>
  <c r="E17" i="1"/>
  <c r="D17" i="1"/>
  <c r="B17" i="1"/>
  <c r="A17" i="1"/>
  <c r="H16" i="1"/>
  <c r="G16" i="1"/>
  <c r="E16" i="1"/>
  <c r="D16" i="1"/>
  <c r="B16" i="1"/>
  <c r="A16" i="1"/>
  <c r="H15" i="1"/>
  <c r="G15" i="1"/>
  <c r="E15" i="1"/>
  <c r="D15" i="1"/>
  <c r="B15" i="1"/>
  <c r="A15" i="1"/>
  <c r="B4" i="1"/>
  <c r="B2" i="1"/>
  <c r="R52" i="2" l="1"/>
  <c r="T52" i="2" s="1"/>
  <c r="S52" i="2"/>
  <c r="S51" i="2"/>
  <c r="R51" i="2"/>
  <c r="T51" i="2" s="1"/>
  <c r="R50" i="2"/>
  <c r="T50" i="2" s="1"/>
  <c r="S50" i="2"/>
  <c r="S49" i="2"/>
  <c r="R49" i="2"/>
  <c r="T49" i="2" s="1"/>
  <c r="S48" i="2"/>
  <c r="R48" i="2"/>
  <c r="T48" i="2" s="1"/>
  <c r="S47" i="2"/>
  <c r="R47" i="2"/>
  <c r="T47" i="2" s="1"/>
  <c r="S46" i="2"/>
  <c r="R46" i="2"/>
  <c r="T46" i="2" s="1"/>
  <c r="S45" i="2"/>
  <c r="R45" i="2"/>
  <c r="T45" i="2" s="1"/>
  <c r="S44" i="2"/>
  <c r="R44" i="2"/>
  <c r="T44" i="2" s="1"/>
  <c r="S43" i="2"/>
  <c r="R43" i="2"/>
  <c r="T43" i="2" s="1"/>
  <c r="S42" i="2"/>
  <c r="R42" i="2"/>
  <c r="T42" i="2" s="1"/>
  <c r="S41" i="2"/>
  <c r="R41" i="2"/>
  <c r="T41" i="2" s="1"/>
  <c r="S40" i="2"/>
  <c r="R40" i="2"/>
  <c r="T40" i="2" s="1"/>
  <c r="S39" i="2"/>
  <c r="R39" i="2"/>
  <c r="T39" i="2" s="1"/>
  <c r="S38" i="2"/>
  <c r="R38" i="2"/>
  <c r="T38" i="2" s="1"/>
  <c r="S37" i="2"/>
  <c r="R37" i="2"/>
  <c r="T37" i="2" s="1"/>
  <c r="S36" i="2"/>
  <c r="R36" i="2"/>
  <c r="S35" i="2"/>
  <c r="R35" i="2"/>
  <c r="T35" i="2" s="1"/>
  <c r="R28" i="2"/>
  <c r="T28" i="2" s="1"/>
  <c r="S33" i="2"/>
  <c r="T33" i="2" s="1"/>
  <c r="T16" i="2"/>
  <c r="T21" i="2"/>
  <c r="R14" i="2"/>
  <c r="T14" i="2" s="1"/>
  <c r="R18" i="2"/>
  <c r="T18" i="2" s="1"/>
  <c r="R31" i="2"/>
  <c r="T31" i="2" s="1"/>
  <c r="R23" i="2"/>
  <c r="T23" i="2" s="1"/>
  <c r="R25" i="2"/>
  <c r="T25" i="2" s="1"/>
  <c r="R32" i="2"/>
  <c r="T32" i="2" s="1"/>
  <c r="R12" i="2"/>
  <c r="T12" i="2" s="1"/>
  <c r="R29" i="2"/>
  <c r="T29" i="2" s="1"/>
  <c r="S19" i="2"/>
  <c r="T19" i="2" s="1"/>
  <c r="S22" i="2"/>
  <c r="T22" i="2" s="1"/>
  <c r="R26" i="2"/>
  <c r="T26" i="2" s="1"/>
  <c r="R15" i="2"/>
  <c r="T15" i="2" s="1"/>
  <c r="R13" i="2"/>
  <c r="T13" i="2" s="1"/>
  <c r="R20" i="2"/>
  <c r="T20" i="2" s="1"/>
  <c r="R30" i="2"/>
  <c r="T30" i="2" s="1"/>
  <c r="S27" i="2"/>
  <c r="T27" i="2" s="1"/>
  <c r="R24" i="2"/>
  <c r="T24" i="2" s="1"/>
  <c r="R34" i="2"/>
  <c r="T34" i="2" s="1"/>
  <c r="T6" i="2"/>
  <c r="R2" i="2"/>
  <c r="S10" i="2"/>
  <c r="T10" i="2" s="1"/>
  <c r="S5" i="2"/>
  <c r="B12" i="6" s="1"/>
  <c r="C30" i="6"/>
  <c r="B40" i="6"/>
  <c r="R8" i="2"/>
  <c r="T8" i="2" s="1"/>
  <c r="A31" i="6"/>
  <c r="C40" i="6"/>
  <c r="R3" i="2"/>
  <c r="B31" i="6"/>
  <c r="A41" i="6"/>
  <c r="R4" i="2"/>
  <c r="R7" i="2"/>
  <c r="C31" i="6"/>
  <c r="B41" i="6"/>
  <c r="A32" i="6"/>
  <c r="C41" i="6"/>
  <c r="A42" i="6"/>
  <c r="A26" i="6"/>
  <c r="C32" i="6"/>
  <c r="B42" i="6"/>
  <c r="B26" i="6"/>
  <c r="A33" i="6"/>
  <c r="C42" i="6"/>
  <c r="C26" i="6"/>
  <c r="B33" i="6"/>
  <c r="A43" i="6"/>
  <c r="A27" i="6"/>
  <c r="C33" i="6"/>
  <c r="B43" i="6"/>
  <c r="B27" i="6"/>
  <c r="A37" i="6"/>
  <c r="C43" i="6"/>
  <c r="C27" i="6"/>
  <c r="B37" i="6"/>
  <c r="A44" i="6"/>
  <c r="A28" i="6"/>
  <c r="C37" i="6"/>
  <c r="B44" i="6"/>
  <c r="F5" i="3"/>
  <c r="B28" i="6"/>
  <c r="A38" i="6"/>
  <c r="C44" i="6"/>
  <c r="C28" i="6"/>
  <c r="B38" i="6"/>
  <c r="A45" i="6"/>
  <c r="F6" i="3"/>
  <c r="A29" i="6"/>
  <c r="C38" i="6"/>
  <c r="B45" i="6"/>
  <c r="B29" i="6"/>
  <c r="A39" i="6"/>
  <c r="R9" i="2"/>
  <c r="T9" i="2" s="1"/>
  <c r="C29" i="6"/>
  <c r="B39" i="6"/>
  <c r="A46" i="6"/>
  <c r="A40" i="6"/>
  <c r="T36" i="2" l="1"/>
  <c r="T5" i="2"/>
  <c r="F4" i="3"/>
  <c r="T4" i="2"/>
  <c r="T3" i="2"/>
  <c r="F3" i="3"/>
  <c r="F7" i="3"/>
  <c r="T7" i="2"/>
  <c r="B6" i="1"/>
  <c r="B9" i="1"/>
  <c r="B12" i="1"/>
  <c r="F2" i="3"/>
  <c r="B8" i="1"/>
  <c r="B5" i="1"/>
  <c r="T2" i="2"/>
  <c r="B11" i="1"/>
  <c r="B10" i="1"/>
  <c r="B7" i="1"/>
</calcChain>
</file>

<file path=xl/sharedStrings.xml><?xml version="1.0" encoding="utf-8"?>
<sst xmlns="http://schemas.openxmlformats.org/spreadsheetml/2006/main" count="446" uniqueCount="275">
  <si>
    <t>منظومة إدارة العقود — شركة البريقة لتسويق النفط</t>
  </si>
  <si>
    <t>تاريخ اليوم:</t>
  </si>
  <si>
    <t>إجمالي العقود المسجلة</t>
  </si>
  <si>
    <t>العقود السارية حاليًا</t>
  </si>
  <si>
    <t>العقود المنتهية</t>
  </si>
  <si>
    <t>تنتهي خلال 30 يومًا</t>
  </si>
  <si>
    <t>تنتهي خلال 60 يومًا</t>
  </si>
  <si>
    <t>تنتهي خلال 90 يومًا</t>
  </si>
  <si>
    <t>لم يبدأ سريانها بعد</t>
  </si>
  <si>
    <t>معلقة</t>
  </si>
  <si>
    <t>منتهية قبل موعدها</t>
  </si>
  <si>
    <t>حسب نوع العقد</t>
  </si>
  <si>
    <t>العدد</t>
  </si>
  <si>
    <t>حسب الإدارة</t>
  </si>
  <si>
    <t>حسب الشركة</t>
  </si>
  <si>
    <t>الأرقام تتحدث تلقائيًا عند إضافة أو تعديل العقود في ورقة «العقود».</t>
  </si>
  <si>
    <t>م</t>
  </si>
  <si>
    <t>رقم العقد</t>
  </si>
  <si>
    <t>الرقم المرجعي</t>
  </si>
  <si>
    <t>الشركة المتعاقدة</t>
  </si>
  <si>
    <t>نوع العقد</t>
  </si>
  <si>
    <t>موضوع العقد</t>
  </si>
  <si>
    <t>تاريخ التوقيع</t>
  </si>
  <si>
    <t>بداية السريان</t>
  </si>
  <si>
    <t>الانتهاء الأصلي</t>
  </si>
  <si>
    <t>الانتهاء الفعلي (بعد التمديد)</t>
  </si>
  <si>
    <t>المدة الأصلية (شهر)</t>
  </si>
  <si>
    <t>القيمة</t>
  </si>
  <si>
    <t>العملة</t>
  </si>
  <si>
    <t>الكميات</t>
  </si>
  <si>
    <t>الإدارة المختصة</t>
  </si>
  <si>
    <t>مسؤول المتابعة</t>
  </si>
  <si>
    <t>حالة خاصة</t>
  </si>
  <si>
    <t>الحالة</t>
  </si>
  <si>
    <t>المتبقي (يوم)</t>
  </si>
  <si>
    <t>التنبيه</t>
  </si>
  <si>
    <t>عدد التمديدات</t>
  </si>
  <si>
    <t>مسار ملف PDF</t>
  </si>
  <si>
    <t>ملاحظات وإجراءات</t>
  </si>
  <si>
    <t>تكرار؟</t>
  </si>
  <si>
    <t>ع/2025/101</t>
  </si>
  <si>
    <t>شركة الأفق للخدمات النفطية</t>
  </si>
  <si>
    <t>بيع وقود الديزل</t>
  </si>
  <si>
    <t>دينار ليبي</t>
  </si>
  <si>
    <t>إدارة المبيعات</t>
  </si>
  <si>
    <t>مسؤول 1</t>
  </si>
  <si>
    <t>شركة النور للنقل والتشغيل</t>
  </si>
  <si>
    <t>بيع البنزين</t>
  </si>
  <si>
    <t>الإدارة الفنية</t>
  </si>
  <si>
    <t>مسؤول 2</t>
  </si>
  <si>
    <t>ع/2024/103</t>
  </si>
  <si>
    <t>شركة المدار للتوريدات</t>
  </si>
  <si>
    <t>توريد منتجات نفطية</t>
  </si>
  <si>
    <t>الشؤون القانونية</t>
  </si>
  <si>
    <t>مسؤول 3</t>
  </si>
  <si>
    <t>ع/2025/104</t>
  </si>
  <si>
    <t>شركة الساحل للصيانة</t>
  </si>
  <si>
    <t>صيانة</t>
  </si>
  <si>
    <t>الإدارة التجارية</t>
  </si>
  <si>
    <t>مسؤول 4</t>
  </si>
  <si>
    <t>شركة الواحة للتجارة العامة</t>
  </si>
  <si>
    <t>تقديم خدمات</t>
  </si>
  <si>
    <t>مسؤول 5</t>
  </si>
  <si>
    <t>ع/2024/106</t>
  </si>
  <si>
    <t>شركة الريادة للطاقة</t>
  </si>
  <si>
    <t>مسؤول 6</t>
  </si>
  <si>
    <t>نقل وتشغيل</t>
  </si>
  <si>
    <t>مسؤول 7</t>
  </si>
  <si>
    <t>مسؤول 8</t>
  </si>
  <si>
    <t>مسؤول 9</t>
  </si>
  <si>
    <t>مسؤول 10</t>
  </si>
  <si>
    <t>معلق</t>
  </si>
  <si>
    <t>اسم الشركة</t>
  </si>
  <si>
    <t>الهاتف</t>
  </si>
  <si>
    <t>البريد الإلكتروني</t>
  </si>
  <si>
    <t>العنوان</t>
  </si>
  <si>
    <t>عدد العقود</t>
  </si>
  <si>
    <t>العقود السارية</t>
  </si>
  <si>
    <t>0910000001</t>
  </si>
  <si>
    <t>info@example.test</t>
  </si>
  <si>
    <t>طرابلس (بيانات وهمية)</t>
  </si>
  <si>
    <t>0910000002</t>
  </si>
  <si>
    <t>0910000003</t>
  </si>
  <si>
    <t>0910000004</t>
  </si>
  <si>
    <t>0910000005</t>
  </si>
  <si>
    <t>0910000006</t>
  </si>
  <si>
    <t>تاريخ قرار التمديد</t>
  </si>
  <si>
    <t>تاريخ الانتهاء الجديد</t>
  </si>
  <si>
    <t>ملاحظة</t>
  </si>
  <si>
    <t>(عمود مساعد)</t>
  </si>
  <si>
    <t>تمديد ثلاثة أشهر (مثال)</t>
  </si>
  <si>
    <t>تمديد ثمانية أشهر (مثال)</t>
  </si>
  <si>
    <t>رقم المراسلة</t>
  </si>
  <si>
    <t>تاريخ المراسلة</t>
  </si>
  <si>
    <t>م/301</t>
  </si>
  <si>
    <t>مخاطبة بخصوص العقد (مثال)</t>
  </si>
  <si>
    <t>م/304</t>
  </si>
  <si>
    <t>إخطار بقرب الانتهاء (مثال)</t>
  </si>
  <si>
    <t>أدخل رقم العقد ←</t>
  </si>
  <si>
    <t>(يُؤخذ أول عقد بهذا الرقم)</t>
  </si>
  <si>
    <t>الموضوع</t>
  </si>
  <si>
    <t>الانتهاء الفعلي</t>
  </si>
  <si>
    <t>ملف PDF</t>
  </si>
  <si>
    <t>ملاحظات</t>
  </si>
  <si>
    <t>آخر تمديد</t>
  </si>
  <si>
    <t>سجل التمديدات</t>
  </si>
  <si>
    <t>تاريخ القرار</t>
  </si>
  <si>
    <t>الانتهاء الجديد</t>
  </si>
  <si>
    <t>المراسلات</t>
  </si>
  <si>
    <t>التاريخ</t>
  </si>
  <si>
    <t>أنواع العقود</t>
  </si>
  <si>
    <t>الإدارات</t>
  </si>
  <si>
    <t>فترات التنبيه (أيام)</t>
  </si>
  <si>
    <t>تنبيه أول</t>
  </si>
  <si>
    <t>تنبيه ثانٍ</t>
  </si>
  <si>
    <t>منتهٍ قبل موعده</t>
  </si>
  <si>
    <t>تنبيه عاجل</t>
  </si>
  <si>
    <t>تُضاف أنواع/إدارات جديدة في الخانات الفارغة أسفل القوائم (حتى الصف 20).</t>
  </si>
  <si>
    <t>طريقة الاستخدام</t>
  </si>
  <si>
    <t>1) أضف الشركات في ورقة «الشركات» أولًا (الأزرق = خانات إدخال).</t>
  </si>
  <si>
    <t>2) أضف العقد في أول صف فارغ بورقة «العقود» (الصيغ جاهزة حتى 500 عقد). الأعمدة الرمادية/السوداء تُحسب تلقائيًا ولا تُعدَّل.</t>
  </si>
  <si>
    <t>3) التمديدات: سجّل كل تمديد كسطر جديد في ورقة «التمديدات» برقم العقد — لا يُحذف القديم، والانتهاء الفعلي يُحسب من آخر تمديد.</t>
  </si>
  <si>
    <t>4) المراسلات: سجّلها في ورقة «المراسلات» برقم العقد.</t>
  </si>
  <si>
    <t>5) البحث: استخدم الفلتر في رأس جدول «العقود» أو Ctrl+F. ولعرض ملف عقد كامل اكتب رقمه في «بطاقة العقد».</t>
  </si>
  <si>
    <t>6) التنبيهات: ملوّنة في عمود الحالة والتنبيه، وتُضبط الفترات من «القوائم والإعدادات».</t>
  </si>
  <si>
    <t>7) التقارير: صفِّ الجدول بالفلتر ثم اطبع أو احفظ PDF (ملف &gt; طباعة).</t>
  </si>
  <si>
    <t>8) النسخ الاحتياطي: انسخ الملف بتاريخ اليوم إلى قرص خارجي أو مجلد مؤمَّن (أسبوعيًا).</t>
  </si>
  <si>
    <t>9) البيانات الحالية وهمية للتجربة — احذفها قبل إدخال البيانات الحقيقية. لا تحذف صفوف الصيغ؛ امسح خانات الإدخال فقط.</t>
  </si>
  <si>
    <t>ملاحظة: الصيغ تحتاج Excel 2019 أو أحدث (دالة MAXIFS).</t>
  </si>
  <si>
    <t>ع.ت.د/609</t>
  </si>
  <si>
    <t>شركة الطيور اللامعة لتربية الدواجن</t>
  </si>
  <si>
    <t xml:space="preserve">تزويد بمنتج الديزل  </t>
  </si>
  <si>
    <t>مصراته / الغيران</t>
  </si>
  <si>
    <t>ع.ت.د/627</t>
  </si>
  <si>
    <t>الموقع</t>
  </si>
  <si>
    <t xml:space="preserve">زليتن </t>
  </si>
  <si>
    <t xml:space="preserve">شركة الخيرات الاحسن للمقاولات العامة والاستثمار العقاري </t>
  </si>
  <si>
    <t>ع.ت.د/621</t>
  </si>
  <si>
    <t>قصر الخيار</t>
  </si>
  <si>
    <t>شركة سد أبو عباد لصناعة الزلط</t>
  </si>
  <si>
    <t>ع.ت.د /611</t>
  </si>
  <si>
    <t>مصراته / السكت</t>
  </si>
  <si>
    <t>شركة الضيافة الليبية لصناعة المواد الغذائية والمشروبات</t>
  </si>
  <si>
    <t>ع.ت.د</t>
  </si>
  <si>
    <t>ع.ت.د /629</t>
  </si>
  <si>
    <t>مصراته</t>
  </si>
  <si>
    <t xml:space="preserve">شركة الامل لتجميع وإعادة المخلفات الصناعية </t>
  </si>
  <si>
    <t>بيع منتج الزيت الثقيل</t>
  </si>
  <si>
    <t xml:space="preserve">تزويد بمنتج الزيت الثقيل  </t>
  </si>
  <si>
    <t>200 طن</t>
  </si>
  <si>
    <t>ع.ت.د /612</t>
  </si>
  <si>
    <t xml:space="preserve">السوكنة / الجفرة </t>
  </si>
  <si>
    <t xml:space="preserve">شركة زمام لتربية الدواجن </t>
  </si>
  <si>
    <t>ع.ت.د /610</t>
  </si>
  <si>
    <t>يفرن</t>
  </si>
  <si>
    <t>إدارة الخدمات النظافة العامة يفرن</t>
  </si>
  <si>
    <t>ع.ت.د /644</t>
  </si>
  <si>
    <t>مصراته /راس الطوبة</t>
  </si>
  <si>
    <t>شركة قرارة لصناعة الرخام و القرنيت</t>
  </si>
  <si>
    <t>ع.ت.د / 667</t>
  </si>
  <si>
    <t>الخمس</t>
  </si>
  <si>
    <t>شركة الشروق الليبية للمطاحن و الاعلاف</t>
  </si>
  <si>
    <t>ع.ت.د /654</t>
  </si>
  <si>
    <t>شركة الوسيطة لصناعة المبيدات الحشرية</t>
  </si>
  <si>
    <t>بيع منتج غاز مسال</t>
  </si>
  <si>
    <t>60 ألف طن</t>
  </si>
  <si>
    <t>ع.ت.د /613</t>
  </si>
  <si>
    <t>مصنع الفتح لصناعة الزلط</t>
  </si>
  <si>
    <t xml:space="preserve"> مصراته / تاورغاء</t>
  </si>
  <si>
    <t>ع.ت.د /614</t>
  </si>
  <si>
    <t>طرابلس</t>
  </si>
  <si>
    <t>شركة الجيد للإستيراد المواد الغذائية</t>
  </si>
  <si>
    <t>ع.ت.د /619</t>
  </si>
  <si>
    <t>صبراته</t>
  </si>
  <si>
    <t xml:space="preserve">شركة صرمان الحديثة لصناعة مواد البناء و السيراميك </t>
  </si>
  <si>
    <t xml:space="preserve">ع.ت.د /608 </t>
  </si>
  <si>
    <t xml:space="preserve">طرابلس </t>
  </si>
  <si>
    <t>شركة أبراج العرب العالمية للصناعات الخراسنية و مواد البناء</t>
  </si>
  <si>
    <t>ع.ت.د / 607</t>
  </si>
  <si>
    <t>باطن الجبل / بدر</t>
  </si>
  <si>
    <t>شركة الموج الجارف لإنتاج الزلط</t>
  </si>
  <si>
    <t xml:space="preserve">ع.ت.د / 622 </t>
  </si>
  <si>
    <t xml:space="preserve">الزاوية </t>
  </si>
  <si>
    <t xml:space="preserve">شركة القرية المتحدة لصناعة و تعليب المواد الغذائية </t>
  </si>
  <si>
    <t>ع.ت.د /635</t>
  </si>
  <si>
    <t xml:space="preserve">مصراته </t>
  </si>
  <si>
    <t>شركة الخنفاس لصناعة سحب الاسلاك</t>
  </si>
  <si>
    <t>14طن</t>
  </si>
  <si>
    <t xml:space="preserve">شركة الرطيل و شوركاءة لصناعة مواد البناء </t>
  </si>
  <si>
    <t>ع.ت.د /674</t>
  </si>
  <si>
    <t>ع.ت.د /676</t>
  </si>
  <si>
    <t xml:space="preserve">شركة بيتا بوليمر لصناعات الكيماوية </t>
  </si>
  <si>
    <t>ع.ت.د /666</t>
  </si>
  <si>
    <t xml:space="preserve">شركة السيل بلاست للصناعات البلاستيكية </t>
  </si>
  <si>
    <t>ع.ت.د / 655</t>
  </si>
  <si>
    <t xml:space="preserve">العجيلات </t>
  </si>
  <si>
    <t>إدارة الخدمات النظافة العجيلات</t>
  </si>
  <si>
    <t>ع.ت.د /696</t>
  </si>
  <si>
    <t xml:space="preserve">شركة خيرات الوادي لصناعة المواد الغذائية </t>
  </si>
  <si>
    <t>ع.ت.د /35</t>
  </si>
  <si>
    <t>طرابلس /طريق المطار</t>
  </si>
  <si>
    <t>شركة الصرح الراقي لانتاج الزلط</t>
  </si>
  <si>
    <t>ع.ت.د /675</t>
  </si>
  <si>
    <t xml:space="preserve">سبها </t>
  </si>
  <si>
    <t>شركة البرج الخرساني لخلاطة الاسمنت</t>
  </si>
  <si>
    <t xml:space="preserve"> 242108لتر</t>
  </si>
  <si>
    <t>78560لتر</t>
  </si>
  <si>
    <t>58000لتر</t>
  </si>
  <si>
    <t>15000لتر</t>
  </si>
  <si>
    <t>104320لتر</t>
  </si>
  <si>
    <t>165240لتر</t>
  </si>
  <si>
    <t>105760لتر</t>
  </si>
  <si>
    <t>40000لتر</t>
  </si>
  <si>
    <t>96468 لتر</t>
  </si>
  <si>
    <t>56640 لتر</t>
  </si>
  <si>
    <t>47600 لتر</t>
  </si>
  <si>
    <t>89800 لتر</t>
  </si>
  <si>
    <t>46800 لتر</t>
  </si>
  <si>
    <t>8700 لتر</t>
  </si>
  <si>
    <t>68960 لتر</t>
  </si>
  <si>
    <t>97300 لتر</t>
  </si>
  <si>
    <t>43720لتر</t>
  </si>
  <si>
    <t>26660لتر</t>
  </si>
  <si>
    <t>تزويد من منطقة مصراته بكمية 47900 لتر محددة من اللجنة الفرعية مصراته</t>
  </si>
  <si>
    <t>80000لتر</t>
  </si>
  <si>
    <t>41538لتر</t>
  </si>
  <si>
    <t>60000لتر</t>
  </si>
  <si>
    <t xml:space="preserve"> 70000لتر في أوقات الذروة و ذلك حسب تقرير اللجنة الفرعية</t>
  </si>
  <si>
    <t>ع.ت.د /668</t>
  </si>
  <si>
    <t>شركة الإنفتاح للمقاولات العامة والطرق والاستثمار</t>
  </si>
  <si>
    <t>234400لتر</t>
  </si>
  <si>
    <t>ع.ت.د /631</t>
  </si>
  <si>
    <t>مصنع مصراته لصناعة الأنابيب</t>
  </si>
  <si>
    <t>16540لتر</t>
  </si>
  <si>
    <t>89500لتر</t>
  </si>
  <si>
    <t>مستشفى بن سينا التعليمي سرت</t>
  </si>
  <si>
    <t>سرت</t>
  </si>
  <si>
    <t>ع.ت.د /677</t>
  </si>
  <si>
    <t>ع.ت.د /641</t>
  </si>
  <si>
    <t>شركة إنفاق الجبال للمقاولات العامة والاستثمار العقاري</t>
  </si>
  <si>
    <t>178000لتر</t>
  </si>
  <si>
    <t>ع.ت.د /689</t>
  </si>
  <si>
    <t>شركة السهل الأخضر لانتاج الشرشور ومواد البناء</t>
  </si>
  <si>
    <t>47793لتر</t>
  </si>
  <si>
    <t>49800لتر</t>
  </si>
  <si>
    <t>ع.ت.د /652</t>
  </si>
  <si>
    <t>ع.ت.د /648</t>
  </si>
  <si>
    <t>شركة تكنو لصناعة مواد البناء</t>
  </si>
  <si>
    <t>شركة المقاول لصناعة مواد البناء وصناعة الاجر</t>
  </si>
  <si>
    <t>ع.ت.د /104</t>
  </si>
  <si>
    <t>شركة المناجم للصناعات المعدنية</t>
  </si>
  <si>
    <t>181900لتر</t>
  </si>
  <si>
    <t>64600لتر</t>
  </si>
  <si>
    <t>ع.ت.د /682</t>
  </si>
  <si>
    <t xml:space="preserve">شركة الدجاجة السعيدة لتربية وذبح وتسويق الدواجن </t>
  </si>
  <si>
    <t>48065لتر</t>
  </si>
  <si>
    <t>ع.ت.د /546</t>
  </si>
  <si>
    <t>شركة ابوفارس وشركاؤه للصناعات الحديدية</t>
  </si>
  <si>
    <t>52700لتر</t>
  </si>
  <si>
    <t>ع.ت.د /680</t>
  </si>
  <si>
    <t>شركة ارزاق الخير لصناعة المواد الغذائية</t>
  </si>
  <si>
    <t>110540لتر</t>
  </si>
  <si>
    <t>ع.ت.د /639</t>
  </si>
  <si>
    <t>شركة المجمع الاستثماري لصناعة مواد البناء</t>
  </si>
  <si>
    <t>61000لتر</t>
  </si>
  <si>
    <t>ع.ت.د /341</t>
  </si>
  <si>
    <t>نسمة</t>
  </si>
  <si>
    <t>شركة الإعمار الأجدر للخدمات النفطية</t>
  </si>
  <si>
    <t>ع.ت.د /616</t>
  </si>
  <si>
    <t>البحر</t>
  </si>
  <si>
    <t>وحدة الصيد المسماة زرقاء</t>
  </si>
  <si>
    <t>بيع وقود السفن</t>
  </si>
  <si>
    <t>تزويد بمنتج وقود السفن</t>
  </si>
  <si>
    <t>ع.ت.د /615</t>
  </si>
  <si>
    <t>وحدة الصيد المسماة لبدة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</si>
</sst>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5">
    <font>
      <sz val="11"/>
      <color theme="1"/>
      <name val="Calibri"/>
      <family val="2"/>
      <charset val="1"/>
    </font>
    <font>
      <b/>
      <sz val="16"/>
      <color rgb="FF12355B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3"/>
      <color rgb="FF12355B"/>
      <name val="Arial"/>
      <charset val="1"/>
    </font>
    <font>
      <b/>
      <sz val="11"/>
      <color rgb="FFFFFFFF"/>
      <name val="Arial"/>
      <charset val="1"/>
    </font>
    <font>
      <i/>
      <sz val="9"/>
      <name val="Arial"/>
      <charset val="1"/>
    </font>
    <font>
      <sz val="11"/>
      <color rgb="FF0000FF"/>
      <name val="Arial"/>
      <charset val="1"/>
    </font>
    <font>
      <sz val="9"/>
      <color rgb="FF999999"/>
      <name val="Arial"/>
      <charset val="1"/>
    </font>
    <font>
      <b/>
      <sz val="12"/>
      <name val="Arial"/>
      <charset val="1"/>
    </font>
    <font>
      <b/>
      <sz val="12"/>
      <color rgb="FF0000FF"/>
      <name val="Arial"/>
      <charset val="1"/>
    </font>
    <font>
      <sz val="9"/>
      <name val="Arial"/>
      <charset val="1"/>
    </font>
    <font>
      <sz val="11"/>
      <color theme="1"/>
      <name val="FreeSans"/>
      <family val="2"/>
    </font>
    <font>
      <b/>
      <sz val="13"/>
      <name val="Arial"/>
      <charset val="1"/>
    </font>
    <font>
      <sz val="8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E8EDF3"/>
        <bgColor rgb="FFFFFFFF"/>
      </patternFill>
    </fill>
    <fill>
      <patternFill patternType="solid">
        <fgColor rgb="FF12355B"/>
        <bgColor rgb="FF333333"/>
      </patternFill>
    </fill>
    <fill>
      <patternFill patternType="solid">
        <fgColor rgb="FFFFFF99"/>
        <bgColor rgb="FFFFEB9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3" fillId="2" borderId="1" xfId="0" applyFont="1" applyFill="1" applyBorder="1"/>
    <xf numFmtId="0" fontId="4" fillId="0" borderId="1" xfId="0" applyFont="1" applyBorder="1" applyAlignment="1">
      <alignment horizontal="center"/>
    </xf>
    <xf numFmtId="0" fontId="5" fillId="3" borderId="0" xfId="0" applyFont="1" applyFill="1"/>
    <xf numFmtId="0" fontId="2" fillId="0" borderId="1" xfId="0" applyFont="1" applyBorder="1"/>
    <xf numFmtId="0" fontId="6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164" fontId="7" fillId="0" borderId="1" xfId="0" applyNumberFormat="1" applyFont="1" applyBorder="1"/>
    <xf numFmtId="164" fontId="2" fillId="0" borderId="1" xfId="0" applyNumberFormat="1" applyFont="1" applyBorder="1"/>
    <xf numFmtId="0" fontId="8" fillId="0" borderId="0" xfId="0" applyFont="1"/>
    <xf numFmtId="0" fontId="9" fillId="0" borderId="0" xfId="0" applyFont="1"/>
    <xf numFmtId="0" fontId="10" fillId="4" borderId="0" xfId="0" applyFont="1" applyFill="1"/>
    <xf numFmtId="0" fontId="11" fillId="0" borderId="0" xfId="0" applyFont="1"/>
    <xf numFmtId="0" fontId="3" fillId="2" borderId="0" xfId="0" applyFont="1" applyFill="1"/>
    <xf numFmtId="0" fontId="2" fillId="0" borderId="1" xfId="0" applyFont="1" applyBorder="1" applyAlignment="1">
      <alignment horizontal="right" wrapText="1"/>
    </xf>
    <xf numFmtId="164" fontId="2" fillId="0" borderId="1" xfId="0" applyNumberFormat="1" applyFont="1" applyBorder="1" applyAlignment="1">
      <alignment horizontal="right" wrapText="1"/>
    </xf>
    <xf numFmtId="3" fontId="2" fillId="0" borderId="1" xfId="0" applyNumberFormat="1" applyFont="1" applyBorder="1" applyAlignment="1">
      <alignment horizontal="right" wrapText="1"/>
    </xf>
    <xf numFmtId="164" fontId="2" fillId="0" borderId="0" xfId="0" applyNumberFormat="1" applyFont="1" applyAlignment="1">
      <alignment horizontal="right"/>
    </xf>
    <xf numFmtId="0" fontId="7" fillId="0" borderId="0" xfId="0" applyFont="1"/>
    <xf numFmtId="0" fontId="7" fillId="4" borderId="0" xfId="0" applyFont="1" applyFill="1"/>
    <xf numFmtId="0" fontId="12" fillId="0" borderId="0" xfId="0" applyFont="1"/>
    <xf numFmtId="0" fontId="13" fillId="0" borderId="0" xfId="0" applyFont="1"/>
    <xf numFmtId="3" fontId="7" fillId="5" borderId="1" xfId="0" applyNumberFormat="1" applyFont="1" applyFill="1" applyBorder="1"/>
    <xf numFmtId="0" fontId="7" fillId="5" borderId="1" xfId="0" applyFont="1" applyFill="1" applyBorder="1"/>
    <xf numFmtId="0" fontId="0" fillId="5" borderId="0" xfId="0" applyFill="1"/>
    <xf numFmtId="0" fontId="7" fillId="0" borderId="1" xfId="0" applyFont="1" applyBorder="1" applyAlignment="1">
      <alignment horizontal="right"/>
    </xf>
    <xf numFmtId="0" fontId="7" fillId="0" borderId="2" xfId="0" applyFont="1" applyBorder="1"/>
  </cellXfs>
  <cellStyles count="1">
    <cellStyle name="عادي" xfId="0" builtinId="0"/>
  </cellStyles>
  <dxfs count="8">
    <dxf>
      <font>
        <b/>
        <color rgb="FFFF0000"/>
      </font>
    </dxf>
    <dxf>
      <fill>
        <patternFill>
          <bgColor rgb="FFF4B6B6"/>
        </patternFill>
      </fill>
    </dxf>
    <dxf>
      <fill>
        <patternFill>
          <bgColor rgb="FFF4B6B6"/>
        </patternFill>
      </fill>
    </dxf>
    <dxf>
      <fill>
        <patternFill>
          <bgColor rgb="FFD9D9D9"/>
        </patternFill>
      </fill>
    </dxf>
    <dxf>
      <fill>
        <patternFill>
          <bgColor rgb="FFBDD7EE"/>
        </patternFill>
      </fill>
    </dxf>
    <dxf>
      <fill>
        <patternFill>
          <bgColor rgb="FFF4B6B6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EB9C"/>
      <rgbColor rgb="FFE8ED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C6EFCE"/>
      <rgbColor rgb="FFFFFF99"/>
      <rgbColor rgb="FF99CCFF"/>
      <rgbColor rgb="FFFF99CC"/>
      <rgbColor rgb="FFCC99FF"/>
      <rgbColor rgb="FFF4B6B6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2355B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rightToLeft="1" zoomScaleNormal="100" workbookViewId="0"/>
  </sheetViews>
  <sheetFormatPr defaultColWidth="8.6640625" defaultRowHeight="14.4"/>
  <cols>
    <col min="1" max="1" width="30" customWidth="1"/>
    <col min="2" max="2" width="14" customWidth="1"/>
    <col min="4" max="4" width="30" customWidth="1"/>
    <col min="5" max="5" width="14" customWidth="1"/>
    <col min="7" max="7" width="30" customWidth="1"/>
    <col min="8" max="8" width="14" customWidth="1"/>
  </cols>
  <sheetData>
    <row r="1" spans="1:8" ht="21">
      <c r="A1" s="1" t="s">
        <v>0</v>
      </c>
    </row>
    <row r="2" spans="1:8">
      <c r="A2" s="2" t="s">
        <v>1</v>
      </c>
      <c r="B2" s="3">
        <f ca="1">TODAY()</f>
        <v>46308</v>
      </c>
    </row>
    <row r="4" spans="1:8" ht="16.8">
      <c r="A4" s="4" t="s">
        <v>2</v>
      </c>
      <c r="B4" s="5">
        <f>COUNTA(العقود!$B$2:$B$501)</f>
        <v>51</v>
      </c>
    </row>
    <row r="5" spans="1:8" ht="16.8">
      <c r="A5" s="4" t="s">
        <v>3</v>
      </c>
      <c r="B5" s="5">
        <f ca="1">COUNTIFS(العقود!$R$2:$R$501,"ساري")+COUNTIFS(العقود!$R$2:$R$501,"قريب الانتهاء")</f>
        <v>37</v>
      </c>
    </row>
    <row r="6" spans="1:8" ht="16.8">
      <c r="A6" s="4" t="s">
        <v>4</v>
      </c>
      <c r="B6" s="5">
        <f ca="1">COUNTIF(العقود!$R$2:$R$501,"منتهٍ")</f>
        <v>12</v>
      </c>
    </row>
    <row r="7" spans="1:8" ht="16.8">
      <c r="A7" s="4" t="s">
        <v>5</v>
      </c>
      <c r="B7" s="5">
        <f ca="1">COUNTIFS(العقود!$R$2:$R$501,"ساري",العقود!$S$2:$S$501,"&lt;=30")+COUNTIFS(العقود!$R$2:$R$501,"قريب الانتهاء",العقود!$S$2:$S$501,"&lt;=30")</f>
        <v>0</v>
      </c>
    </row>
    <row r="8" spans="1:8" ht="16.8">
      <c r="A8" s="4" t="s">
        <v>6</v>
      </c>
      <c r="B8" s="5">
        <f ca="1">COUNTIFS(العقود!$R$2:$R$501,"ساري",العقود!$S$2:$S$501,"&lt;=60")+COUNTIFS(العقود!$R$2:$R$501,"قريب الانتهاء",العقود!$S$2:$S$501,"&lt;=60")</f>
        <v>0</v>
      </c>
    </row>
    <row r="9" spans="1:8" ht="16.8">
      <c r="A9" s="4" t="s">
        <v>7</v>
      </c>
      <c r="B9" s="5">
        <f ca="1">COUNTIFS(العقود!$R$2:$R$501,"ساري",العقود!$S$2:$S$501,"&lt;=90")+COUNTIFS(العقود!$R$2:$R$501,"قريب الانتهاء",العقود!$S$2:$S$501,"&lt;=90")</f>
        <v>0</v>
      </c>
    </row>
    <row r="10" spans="1:8" ht="16.8">
      <c r="A10" s="4" t="s">
        <v>8</v>
      </c>
      <c r="B10" s="5">
        <f ca="1">COUNTIF(العقود!$R$2:$R$501,"لم يبدأ بعد")</f>
        <v>1</v>
      </c>
    </row>
    <row r="11" spans="1:8" ht="16.8">
      <c r="A11" s="4" t="s">
        <v>9</v>
      </c>
      <c r="B11" s="5">
        <f ca="1">COUNTIF(العقود!$R$2:$R$501,"معلق")</f>
        <v>1</v>
      </c>
    </row>
    <row r="12" spans="1:8" ht="16.8">
      <c r="A12" s="4" t="s">
        <v>10</v>
      </c>
      <c r="B12" s="5">
        <f ca="1">COUNTIF(العقود!$R$2:$R$501,"منتهٍ قبل موعده")</f>
        <v>0</v>
      </c>
    </row>
    <row r="14" spans="1:8">
      <c r="A14" s="6" t="s">
        <v>11</v>
      </c>
      <c r="B14" s="6" t="s">
        <v>12</v>
      </c>
      <c r="D14" s="6" t="s">
        <v>13</v>
      </c>
      <c r="E14" s="6" t="s">
        <v>12</v>
      </c>
      <c r="G14" s="6" t="s">
        <v>14</v>
      </c>
      <c r="H14" s="6" t="s">
        <v>12</v>
      </c>
    </row>
    <row r="15" spans="1:8">
      <c r="A15" s="7" t="str">
        <f>IF('القوائم والإعدادات'!$A2="","",'القوائم والإعدادات'!$A2)</f>
        <v>بيع وقود الديزل</v>
      </c>
      <c r="B15" s="7">
        <f>IF('القوائم والإعدادات'!$A2="","",COUNTIF(العقود!$E$2:$E$501,'القوائم والإعدادات'!$A2))</f>
        <v>33</v>
      </c>
      <c r="D15" s="7" t="str">
        <f>IF('القوائم والإعدادات'!$B2="","",'القوائم والإعدادات'!$B2)</f>
        <v>الإدارة التجارية</v>
      </c>
      <c r="E15" s="7">
        <f>IF('القوائم والإعدادات'!$B2="","",COUNTIF(العقود!$O$2:$O$501,'القوائم والإعدادات'!$B2))</f>
        <v>0</v>
      </c>
      <c r="G15" s="7" t="str">
        <f>IF(الشركات!$A2="","",الشركات!$A2)</f>
        <v>شركة الأفق للخدمات النفطية</v>
      </c>
      <c r="H15" s="7">
        <f>IF(الشركات!$A2="","",COUNTIF(العقود!$D$2:$D$501,الشركات!$A2))</f>
        <v>0</v>
      </c>
    </row>
    <row r="16" spans="1:8">
      <c r="A16" s="7" t="str">
        <f>IF('القوائم والإعدادات'!$A3="","",'القوائم والإعدادات'!$A3)</f>
        <v>بيع البنزين</v>
      </c>
      <c r="B16" s="7">
        <f>IF('القوائم والإعدادات'!$A3="","",COUNTIF(العقود!$E$2:$E$501,'القوائم والإعدادات'!$A3))</f>
        <v>0</v>
      </c>
      <c r="D16" s="7" t="str">
        <f>IF('القوائم والإعدادات'!$B3="","",'القوائم والإعدادات'!$B3)</f>
        <v>إدارة المبيعات</v>
      </c>
      <c r="E16" s="7">
        <f>IF('القوائم والإعدادات'!$B3="","",COUNTIF(العقود!$O$2:$O$501,'القوائم والإعدادات'!$B3))</f>
        <v>25</v>
      </c>
      <c r="G16" s="7" t="str">
        <f>IF(الشركات!$A3="","",الشركات!$A3)</f>
        <v>شركة النور للنقل والتشغيل</v>
      </c>
      <c r="H16" s="7">
        <f>IF(الشركات!$A3="","",COUNTIF(العقود!$D$2:$D$501,الشركات!$A3))</f>
        <v>0</v>
      </c>
    </row>
    <row r="17" spans="1:8">
      <c r="A17" s="7" t="str">
        <f>IF('القوائم والإعدادات'!$A4="","",'القوائم والإعدادات'!$A4)</f>
        <v>توريد منتجات نفطية</v>
      </c>
      <c r="B17" s="7">
        <f>IF('القوائم والإعدادات'!$A4="","",COUNTIF(العقود!$E$2:$E$501,'القوائم والإعدادات'!$A4))</f>
        <v>0</v>
      </c>
      <c r="D17" s="7" t="str">
        <f>IF('القوائم والإعدادات'!$B4="","",'القوائم والإعدادات'!$B4)</f>
        <v>الإدارة الفنية</v>
      </c>
      <c r="E17" s="7">
        <f>IF('القوائم والإعدادات'!$B4="","",COUNTIF(العقود!$O$2:$O$501,'القوائم والإعدادات'!$B4))</f>
        <v>0</v>
      </c>
      <c r="G17" s="7" t="str">
        <f>IF(الشركات!$A4="","",الشركات!$A4)</f>
        <v>شركة المدار للتوريدات</v>
      </c>
      <c r="H17" s="7">
        <f>IF(الشركات!$A4="","",COUNTIF(العقود!$D$2:$D$501,الشركات!$A4))</f>
        <v>0</v>
      </c>
    </row>
    <row r="18" spans="1:8">
      <c r="A18" s="7" t="str">
        <f>IF('القوائم والإعدادات'!$A5="","",'القوائم والإعدادات'!$A5)</f>
        <v>تقديم خدمات</v>
      </c>
      <c r="B18" s="7">
        <f>IF('القوائم والإعدادات'!$A5="","",COUNTIF(العقود!$E$2:$E$501,'القوائم والإعدادات'!$A5))</f>
        <v>0</v>
      </c>
      <c r="D18" s="7" t="str">
        <f>IF('القوائم والإعدادات'!$B5="","",'القوائم والإعدادات'!$B5)</f>
        <v>الشؤون القانونية</v>
      </c>
      <c r="E18" s="7">
        <f>IF('القوائم والإعدادات'!$B5="","",COUNTIF(العقود!$O$2:$O$501,'القوائم والإعدادات'!$B5))</f>
        <v>0</v>
      </c>
      <c r="G18" s="7" t="str">
        <f>IF(الشركات!$A5="","",الشركات!$A5)</f>
        <v>شركة الساحل للصيانة</v>
      </c>
      <c r="H18" s="7">
        <f>IF(الشركات!$A5="","",COUNTIF(العقود!$D$2:$D$501,الشركات!$A5))</f>
        <v>0</v>
      </c>
    </row>
    <row r="19" spans="1:8">
      <c r="A19" s="7" t="str">
        <f>IF('القوائم والإعدادات'!$A6="","",'القوائم والإعدادات'!$A6)</f>
        <v>صيانة</v>
      </c>
      <c r="B19" s="7">
        <f>IF('القوائم والإعدادات'!$A6="","",COUNTIF(العقود!$E$2:$E$501,'القوائم والإعدادات'!$A6))</f>
        <v>0</v>
      </c>
      <c r="D19" s="7" t="str">
        <f>IF('القوائم والإعدادات'!$B6="","",'القوائم والإعدادات'!$B6)</f>
        <v/>
      </c>
      <c r="E19" s="7" t="str">
        <f>IF('القوائم والإعدادات'!$B6="","",COUNTIF(العقود!$O$2:$O$501,'القوائم والإعدادات'!$B6))</f>
        <v/>
      </c>
      <c r="G19" s="7" t="str">
        <f>IF(الشركات!$A6="","",الشركات!$A6)</f>
        <v>شركة الواحة للتجارة العامة</v>
      </c>
      <c r="H19" s="7">
        <f>IF(الشركات!$A6="","",COUNTIF(العقود!$D$2:$D$501,الشركات!$A6))</f>
        <v>0</v>
      </c>
    </row>
    <row r="20" spans="1:8">
      <c r="A20" s="7" t="str">
        <f>IF('القوائم والإعدادات'!$A7="","",'القوائم والإعدادات'!$A7)</f>
        <v>نقل وتشغيل</v>
      </c>
      <c r="B20" s="7">
        <f>IF('القوائم والإعدادات'!$A7="","",COUNTIF(العقود!$E$2:$E$501,'القوائم والإعدادات'!$A7))</f>
        <v>0</v>
      </c>
      <c r="D20" s="7" t="str">
        <f>IF('القوائم والإعدادات'!$B7="","",'القوائم والإعدادات'!$B7)</f>
        <v/>
      </c>
      <c r="E20" s="7" t="str">
        <f>IF('القوائم والإعدادات'!$B7="","",COUNTIF(العقود!$O$2:$O$501,'القوائم والإعدادات'!$B7))</f>
        <v/>
      </c>
      <c r="G20" s="7" t="str">
        <f>IF(الشركات!$A7="","",الشركات!$A7)</f>
        <v>شركة الريادة للطاقة</v>
      </c>
      <c r="H20" s="7">
        <f>IF(الشركات!$A7="","",COUNTIF(العقود!$D$2:$D$501,الشركات!$A7))</f>
        <v>0</v>
      </c>
    </row>
    <row r="21" spans="1:8">
      <c r="A21" s="7" t="str">
        <f>IF('القوائم والإعدادات'!$A8="","",'القوائم والإعدادات'!$A8)</f>
        <v/>
      </c>
      <c r="B21" s="7" t="str">
        <f>IF('القوائم والإعدادات'!$A8="","",COUNTIF(العقود!$E$2:$E$501,'القوائم والإعدادات'!$A8))</f>
        <v/>
      </c>
      <c r="D21" s="7" t="str">
        <f>IF('القوائم والإعدادات'!$B8="","",'القوائم والإعدادات'!$B8)</f>
        <v/>
      </c>
      <c r="E21" s="7" t="str">
        <f>IF('القوائم والإعدادات'!$B8="","",COUNTIF(العقود!$O$2:$O$501,'القوائم والإعدادات'!$B8))</f>
        <v/>
      </c>
      <c r="G21" s="7" t="str">
        <f>IF(الشركات!$A8="","",الشركات!$A8)</f>
        <v/>
      </c>
      <c r="H21" s="7" t="str">
        <f>IF(الشركات!$A8="","",COUNTIF(العقود!$D$2:$D$501,الشركات!$A8))</f>
        <v/>
      </c>
    </row>
    <row r="22" spans="1:8">
      <c r="A22" s="7" t="str">
        <f>IF('القوائم والإعدادات'!$A9="","",'القوائم والإعدادات'!$A9)</f>
        <v/>
      </c>
      <c r="B22" s="7" t="str">
        <f>IF('القوائم والإعدادات'!$A9="","",COUNTIF(العقود!$E$2:$E$501,'القوائم والإعدادات'!$A9))</f>
        <v/>
      </c>
      <c r="D22" s="7" t="str">
        <f>IF('القوائم والإعدادات'!$B9="","",'القوائم والإعدادات'!$B9)</f>
        <v/>
      </c>
      <c r="E22" s="7" t="str">
        <f>IF('القوائم والإعدادات'!$B9="","",COUNTIF(العقود!$O$2:$O$501,'القوائم والإعدادات'!$B9))</f>
        <v/>
      </c>
      <c r="G22" s="7" t="str">
        <f>IF(الشركات!$A9="","",الشركات!$A9)</f>
        <v/>
      </c>
      <c r="H22" s="7" t="str">
        <f>IF(الشركات!$A9="","",COUNTIF(العقود!$D$2:$D$501,الشركات!$A9))</f>
        <v/>
      </c>
    </row>
    <row r="23" spans="1:8">
      <c r="A23" s="7" t="str">
        <f>IF('القوائم والإعدادات'!$A10="","",'القوائم والإعدادات'!$A10)</f>
        <v/>
      </c>
      <c r="B23" s="7" t="str">
        <f>IF('القوائم والإعدادات'!$A10="","",COUNTIF(العقود!$E$2:$E$501,'القوائم والإعدادات'!$A10))</f>
        <v/>
      </c>
      <c r="D23" s="7" t="str">
        <f>IF('القوائم والإعدادات'!$B10="","",'القوائم والإعدادات'!$B10)</f>
        <v/>
      </c>
      <c r="E23" s="7" t="str">
        <f>IF('القوائم والإعدادات'!$B10="","",COUNTIF(العقود!$O$2:$O$501,'القوائم والإعدادات'!$B10))</f>
        <v/>
      </c>
      <c r="G23" s="7" t="str">
        <f>IF(الشركات!$A10="","",الشركات!$A10)</f>
        <v/>
      </c>
      <c r="H23" s="7" t="str">
        <f>IF(الشركات!$A10="","",COUNTIF(العقود!$D$2:$D$501,الشركات!$A10))</f>
        <v/>
      </c>
    </row>
    <row r="24" spans="1:8">
      <c r="A24" s="7" t="str">
        <f>IF('القوائم والإعدادات'!$A11="","",'القوائم والإعدادات'!$A11)</f>
        <v/>
      </c>
      <c r="B24" s="7" t="str">
        <f>IF('القوائم والإعدادات'!$A11="","",COUNTIF(العقود!$E$2:$E$501,'القوائم والإعدادات'!$A11))</f>
        <v/>
      </c>
      <c r="D24" s="7" t="str">
        <f>IF('القوائم والإعدادات'!$B11="","",'القوائم والإعدادات'!$B11)</f>
        <v/>
      </c>
      <c r="E24" s="7" t="str">
        <f>IF('القوائم والإعدادات'!$B11="","",COUNTIF(العقود!$O$2:$O$501,'القوائم والإعدادات'!$B11))</f>
        <v/>
      </c>
      <c r="G24" s="7" t="str">
        <f>IF(الشركات!$A11="","",الشركات!$A11)</f>
        <v/>
      </c>
      <c r="H24" s="7" t="str">
        <f>IF(الشركات!$A11="","",COUNTIF(العقود!$D$2:$D$501,الشركات!$A11))</f>
        <v/>
      </c>
    </row>
    <row r="25" spans="1:8">
      <c r="A25" s="7" t="str">
        <f>IF('القوائم والإعدادات'!$A12="","",'القوائم والإعدادات'!$A12)</f>
        <v/>
      </c>
      <c r="B25" s="7" t="str">
        <f>IF('القوائم والإعدادات'!$A12="","",COUNTIF(العقود!$E$2:$E$501,'القوائم والإعدادات'!$A12))</f>
        <v/>
      </c>
      <c r="D25" s="7" t="str">
        <f>IF('القوائم والإعدادات'!$B12="","",'القوائم والإعدادات'!$B12)</f>
        <v/>
      </c>
      <c r="E25" s="7" t="str">
        <f>IF('القوائم والإعدادات'!$B12="","",COUNTIF(العقود!$O$2:$O$501,'القوائم والإعدادات'!$B12))</f>
        <v/>
      </c>
      <c r="G25" s="7" t="str">
        <f>IF(الشركات!$A12="","",الشركات!$A12)</f>
        <v/>
      </c>
      <c r="H25" s="7" t="str">
        <f>IF(الشركات!$A12="","",COUNTIF(العقود!$D$2:$D$501,الشركات!$A12))</f>
        <v/>
      </c>
    </row>
    <row r="26" spans="1:8">
      <c r="A26" s="7" t="str">
        <f>IF('القوائم والإعدادات'!$A13="","",'القوائم والإعدادات'!$A13)</f>
        <v/>
      </c>
      <c r="B26" s="7" t="str">
        <f>IF('القوائم والإعدادات'!$A13="","",COUNTIF(العقود!$E$2:$E$501,'القوائم والإعدادات'!$A13))</f>
        <v/>
      </c>
      <c r="D26" s="7" t="str">
        <f>IF('القوائم والإعدادات'!$B13="","",'القوائم والإعدادات'!$B13)</f>
        <v/>
      </c>
      <c r="E26" s="7" t="str">
        <f>IF('القوائم والإعدادات'!$B13="","",COUNTIF(العقود!$O$2:$O$501,'القوائم والإعدادات'!$B13))</f>
        <v/>
      </c>
      <c r="G26" s="7" t="str">
        <f>IF(الشركات!$A13="","",الشركات!$A13)</f>
        <v/>
      </c>
      <c r="H26" s="7" t="str">
        <f>IF(الشركات!$A13="","",COUNTIF(العقود!$D$2:$D$501,الشركات!$A13))</f>
        <v/>
      </c>
    </row>
    <row r="27" spans="1:8">
      <c r="A27" s="7" t="str">
        <f>IF('القوائم والإعدادات'!$A14="","",'القوائم والإعدادات'!$A14)</f>
        <v/>
      </c>
      <c r="B27" s="7" t="str">
        <f>IF('القوائم والإعدادات'!$A14="","",COUNTIF(العقود!$E$2:$E$501,'القوائم والإعدادات'!$A14))</f>
        <v/>
      </c>
      <c r="D27" s="7" t="str">
        <f>IF('القوائم والإعدادات'!$B14="","",'القوائم والإعدادات'!$B14)</f>
        <v/>
      </c>
      <c r="E27" s="7" t="str">
        <f>IF('القوائم والإعدادات'!$B14="","",COUNTIF(العقود!$O$2:$O$501,'القوائم والإعدادات'!$B14))</f>
        <v/>
      </c>
      <c r="G27" s="7" t="str">
        <f>IF(الشركات!$A14="","",الشركات!$A14)</f>
        <v/>
      </c>
      <c r="H27" s="7" t="str">
        <f>IF(الشركات!$A14="","",COUNTIF(العقود!$D$2:$D$501,الشركات!$A14))</f>
        <v/>
      </c>
    </row>
    <row r="28" spans="1:8">
      <c r="A28" s="7" t="str">
        <f>IF('القوائم والإعدادات'!$A15="","",'القوائم والإعدادات'!$A15)</f>
        <v/>
      </c>
      <c r="B28" s="7" t="str">
        <f>IF('القوائم والإعدادات'!$A15="","",COUNTIF(العقود!$E$2:$E$501,'القوائم والإعدادات'!$A15))</f>
        <v/>
      </c>
      <c r="D28" s="7" t="str">
        <f>IF('القوائم والإعدادات'!$B15="","",'القوائم والإعدادات'!$B15)</f>
        <v/>
      </c>
      <c r="E28" s="7" t="str">
        <f>IF('القوائم والإعدادات'!$B15="","",COUNTIF(العقود!$O$2:$O$501,'القوائم والإعدادات'!$B15))</f>
        <v/>
      </c>
      <c r="G28" s="7" t="str">
        <f>IF(الشركات!$A15="","",الشركات!$A15)</f>
        <v/>
      </c>
      <c r="H28" s="7" t="str">
        <f>IF(الشركات!$A15="","",COUNTIF(العقود!$D$2:$D$501,الشركات!$A15))</f>
        <v/>
      </c>
    </row>
    <row r="29" spans="1:8">
      <c r="A29" s="7" t="str">
        <f>IF('القوائم والإعدادات'!$A16="","",'القوائم والإعدادات'!$A16)</f>
        <v/>
      </c>
      <c r="B29" s="7" t="str">
        <f>IF('القوائم والإعدادات'!$A16="","",COUNTIF(العقود!$E$2:$E$501,'القوائم والإعدادات'!$A16))</f>
        <v/>
      </c>
      <c r="D29" s="7" t="str">
        <f>IF('القوائم والإعدادات'!$B16="","",'القوائم والإعدادات'!$B16)</f>
        <v/>
      </c>
      <c r="E29" s="7" t="str">
        <f>IF('القوائم والإعدادات'!$B16="","",COUNTIF(العقود!$O$2:$O$501,'القوائم والإعدادات'!$B16))</f>
        <v/>
      </c>
      <c r="G29" s="7" t="str">
        <f>IF(الشركات!$A16="","",الشركات!$A16)</f>
        <v/>
      </c>
      <c r="H29" s="7" t="str">
        <f>IF(الشركات!$A16="","",COUNTIF(العقود!$D$2:$D$501,الشركات!$A16))</f>
        <v/>
      </c>
    </row>
    <row r="30" spans="1:8">
      <c r="A30" s="7" t="str">
        <f>IF('القوائم والإعدادات'!$A17="","",'القوائم والإعدادات'!$A17)</f>
        <v/>
      </c>
      <c r="B30" s="7" t="str">
        <f>IF('القوائم والإعدادات'!$A17="","",COUNTIF(العقود!$E$2:$E$501,'القوائم والإعدادات'!$A17))</f>
        <v/>
      </c>
      <c r="D30" s="7" t="str">
        <f>IF('القوائم والإعدادات'!$B17="","",'القوائم والإعدادات'!$B17)</f>
        <v/>
      </c>
      <c r="E30" s="7" t="str">
        <f>IF('القوائم والإعدادات'!$B17="","",COUNTIF(العقود!$O$2:$O$501,'القوائم والإعدادات'!$B17))</f>
        <v/>
      </c>
      <c r="G30" s="7" t="str">
        <f>IF(الشركات!$A17="","",الشركات!$A17)</f>
        <v/>
      </c>
      <c r="H30" s="7" t="str">
        <f>IF(الشركات!$A17="","",COUNTIF(العقود!$D$2:$D$501,الشركات!$A17))</f>
        <v/>
      </c>
    </row>
    <row r="31" spans="1:8">
      <c r="A31" s="7" t="str">
        <f>IF('القوائم والإعدادات'!$A18="","",'القوائم والإعدادات'!$A18)</f>
        <v/>
      </c>
      <c r="B31" s="7" t="str">
        <f>IF('القوائم والإعدادات'!$A18="","",COUNTIF(العقود!$E$2:$E$501,'القوائم والإعدادات'!$A18))</f>
        <v/>
      </c>
      <c r="D31" s="7" t="str">
        <f>IF('القوائم والإعدادات'!$B18="","",'القوائم والإعدادات'!$B18)</f>
        <v/>
      </c>
      <c r="E31" s="7" t="str">
        <f>IF('القوائم والإعدادات'!$B18="","",COUNTIF(العقود!$O$2:$O$501,'القوائم والإعدادات'!$B18))</f>
        <v/>
      </c>
      <c r="G31" s="7" t="str">
        <f>IF(الشركات!$A18="","",الشركات!$A18)</f>
        <v/>
      </c>
      <c r="H31" s="7" t="str">
        <f>IF(الشركات!$A18="","",COUNTIF(العقود!$D$2:$D$501,الشركات!$A18))</f>
        <v/>
      </c>
    </row>
    <row r="32" spans="1:8">
      <c r="A32" s="7" t="str">
        <f>IF('القوائم والإعدادات'!$A19="","",'القوائم والإعدادات'!$A19)</f>
        <v/>
      </c>
      <c r="B32" s="7" t="str">
        <f>IF('القوائم والإعدادات'!$A19="","",COUNTIF(العقود!$E$2:$E$501,'القوائم والإعدادات'!$A19))</f>
        <v/>
      </c>
      <c r="D32" s="7" t="str">
        <f>IF('القوائم والإعدادات'!$B19="","",'القوائم والإعدادات'!$B19)</f>
        <v/>
      </c>
      <c r="E32" s="7" t="str">
        <f>IF('القوائم والإعدادات'!$B19="","",COUNTIF(العقود!$O$2:$O$501,'القوائم والإعدادات'!$B19))</f>
        <v/>
      </c>
      <c r="G32" s="7" t="str">
        <f>IF(الشركات!$A19="","",الشركات!$A19)</f>
        <v/>
      </c>
      <c r="H32" s="7" t="str">
        <f>IF(الشركات!$A19="","",COUNTIF(العقود!$D$2:$D$501,الشركات!$A19))</f>
        <v/>
      </c>
    </row>
    <row r="33" spans="1:8">
      <c r="A33" s="7" t="str">
        <f>IF('القوائم والإعدادات'!$A20="","",'القوائم والإعدادات'!$A20)</f>
        <v/>
      </c>
      <c r="B33" s="7" t="str">
        <f>IF('القوائم والإعدادات'!$A20="","",COUNTIF(العقود!$E$2:$E$501,'القوائم والإعدادات'!$A20))</f>
        <v/>
      </c>
      <c r="D33" s="7" t="str">
        <f>IF('القوائم والإعدادات'!$B20="","",'القوائم والإعدادات'!$B20)</f>
        <v/>
      </c>
      <c r="E33" s="7" t="str">
        <f>IF('القوائم والإعدادات'!$B20="","",COUNTIF(العقود!$O$2:$O$501,'القوائم والإعدادات'!$B20))</f>
        <v/>
      </c>
      <c r="G33" s="7" t="str">
        <f>IF(الشركات!$A20="","",الشركات!$A20)</f>
        <v/>
      </c>
      <c r="H33" s="7" t="str">
        <f>IF(الشركات!$A20="","",COUNTIF(العقود!$D$2:$D$501,الشركات!$A20))</f>
        <v/>
      </c>
    </row>
    <row r="35" spans="1:8">
      <c r="A35" s="8" t="s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01"/>
  <sheetViews>
    <sheetView rightToLeft="1" tabSelected="1" zoomScale="134" zoomScaleNormal="100" workbookViewId="0">
      <pane xSplit="2" ySplit="1" topLeftCell="C29" activePane="bottomRight" state="frozen"/>
      <selection pane="topRight" activeCell="C1" sqref="C1"/>
      <selection pane="bottomLeft" activeCell="A2" sqref="A2"/>
      <selection pane="bottomRight" activeCell="D45" sqref="D45"/>
    </sheetView>
  </sheetViews>
  <sheetFormatPr defaultColWidth="8.6640625" defaultRowHeight="14.4"/>
  <cols>
    <col min="1" max="1" width="5" customWidth="1"/>
    <col min="2" max="2" width="11.21875" bestFit="1" customWidth="1"/>
    <col min="3" max="3" width="16" bestFit="1" customWidth="1"/>
    <col min="4" max="4" width="42.88671875" bestFit="1" customWidth="1"/>
    <col min="5" max="5" width="20" customWidth="1"/>
    <col min="6" max="6" width="34" customWidth="1"/>
    <col min="7" max="9" width="13" customWidth="1"/>
    <col min="10" max="10" width="16" customWidth="1"/>
    <col min="11" max="11" width="11" customWidth="1"/>
    <col min="12" max="12" width="13" style="28" customWidth="1"/>
    <col min="13" max="13" width="12" style="28" customWidth="1"/>
    <col min="14" max="14" width="16" customWidth="1"/>
    <col min="15" max="15" width="18" customWidth="1"/>
    <col min="16" max="16" width="16" customWidth="1"/>
    <col min="17" max="18" width="14" customWidth="1"/>
    <col min="19" max="19" width="11" customWidth="1"/>
    <col min="20" max="20" width="12" customWidth="1"/>
    <col min="21" max="21" width="10" customWidth="1"/>
    <col min="22" max="22" width="30" customWidth="1"/>
    <col min="23" max="23" width="59.44140625" bestFit="1" customWidth="1"/>
    <col min="24" max="24" width="9" customWidth="1"/>
  </cols>
  <sheetData>
    <row r="1" spans="1:24" ht="42" customHeight="1">
      <c r="A1" s="9" t="s">
        <v>16</v>
      </c>
      <c r="B1" s="9" t="s">
        <v>17</v>
      </c>
      <c r="C1" s="9" t="s">
        <v>134</v>
      </c>
      <c r="D1" s="9" t="s">
        <v>19</v>
      </c>
      <c r="E1" s="9" t="s">
        <v>20</v>
      </c>
      <c r="F1" s="9" t="s">
        <v>21</v>
      </c>
      <c r="G1" s="9" t="s">
        <v>22</v>
      </c>
      <c r="H1" s="9" t="s">
        <v>23</v>
      </c>
      <c r="I1" s="9" t="s">
        <v>24</v>
      </c>
      <c r="J1" s="9" t="s">
        <v>25</v>
      </c>
      <c r="K1" s="9" t="s">
        <v>26</v>
      </c>
      <c r="L1" s="9" t="s">
        <v>27</v>
      </c>
      <c r="M1" s="9" t="s">
        <v>28</v>
      </c>
      <c r="N1" s="9" t="s">
        <v>29</v>
      </c>
      <c r="O1" s="9" t="s">
        <v>30</v>
      </c>
      <c r="P1" s="9" t="s">
        <v>31</v>
      </c>
      <c r="Q1" s="9" t="s">
        <v>32</v>
      </c>
      <c r="R1" s="9" t="s">
        <v>33</v>
      </c>
      <c r="S1" s="9" t="s">
        <v>34</v>
      </c>
      <c r="T1" s="9" t="s">
        <v>35</v>
      </c>
      <c r="U1" s="9" t="s">
        <v>36</v>
      </c>
      <c r="V1" s="9" t="s">
        <v>37</v>
      </c>
      <c r="W1" s="9" t="s">
        <v>38</v>
      </c>
      <c r="X1" s="9" t="s">
        <v>39</v>
      </c>
    </row>
    <row r="2" spans="1:24">
      <c r="A2" s="7">
        <v>1</v>
      </c>
      <c r="B2" s="10" t="s">
        <v>129</v>
      </c>
      <c r="C2" s="10" t="s">
        <v>132</v>
      </c>
      <c r="D2" s="10" t="s">
        <v>130</v>
      </c>
      <c r="E2" s="10" t="s">
        <v>42</v>
      </c>
      <c r="F2" s="10" t="s">
        <v>131</v>
      </c>
      <c r="G2" s="11">
        <v>46245</v>
      </c>
      <c r="H2" s="11">
        <v>46250</v>
      </c>
      <c r="I2" s="11">
        <v>46614</v>
      </c>
      <c r="J2" s="12">
        <f>IF(B2="","",MAX(I2,_xlfn.MAXIFS(التمديدات!$C$2:$C$301,التمديدات!$A$2:$A$301,B2)))</f>
        <v>46614</v>
      </c>
      <c r="K2" s="7">
        <f t="shared" ref="K2:K65" si="0">IF(OR(H2="",I2=""),"",ROUND((I2-H2)/30.4,0))</f>
        <v>12</v>
      </c>
      <c r="L2" s="26">
        <v>100000</v>
      </c>
      <c r="M2" s="27" t="s">
        <v>43</v>
      </c>
      <c r="N2" s="10" t="s">
        <v>213</v>
      </c>
      <c r="O2" s="10" t="s">
        <v>44</v>
      </c>
      <c r="P2" s="27" t="s">
        <v>45</v>
      </c>
      <c r="Q2" s="27"/>
      <c r="R2" s="7" t="str">
        <f ca="1">IF(B2="","",IF(Q2&lt;&gt;"",Q2,IF(H2&gt;TODAY(),"لم يبدأ بعد",IF(J2&lt;TODAY(),"منتهٍ",IF(J2-TODAY()&lt;='القوائم والإعدادات'!$E$2,"قريب الانتهاء","ساري")))))</f>
        <v>ساري</v>
      </c>
      <c r="S2" s="7">
        <f t="shared" ref="S2:S16" ca="1" si="1">IF(B2="","",J2-TODAY())</f>
        <v>306</v>
      </c>
      <c r="T2" s="7" t="str">
        <f ca="1">IF(OR(R2="ساري",R2="قريب الانتهاء"),IF(S2&lt;='القوائم والإعدادات'!$E$4,"عاجل",IF(S2&lt;='القوائم والإعدادات'!$E$3,"خلال 60 يوم",IF(S2&lt;='القوائم والإعدادات'!$E$2,"خلال 90 يوم",""))),"")</f>
        <v/>
      </c>
      <c r="U2" s="7">
        <f>IF(B2="","",COUNTIF(التمديدات!$A$2:$A$301,B2))</f>
        <v>0</v>
      </c>
      <c r="V2" s="10"/>
      <c r="X2" s="7" t="str">
        <f t="shared" ref="X2:X16" si="2">IF(B2="","",IF(COUNTIFS($B$2:$B$501,B2,$D$2:$D$501,D2)&gt;1,"مكرر!",""))</f>
        <v/>
      </c>
    </row>
    <row r="3" spans="1:24">
      <c r="A3" s="7">
        <v>2</v>
      </c>
      <c r="B3" s="10" t="s">
        <v>133</v>
      </c>
      <c r="C3" s="10" t="s">
        <v>135</v>
      </c>
      <c r="D3" s="10" t="s">
        <v>136</v>
      </c>
      <c r="E3" s="10" t="s">
        <v>42</v>
      </c>
      <c r="F3" s="10" t="s">
        <v>131</v>
      </c>
      <c r="G3" s="11">
        <v>46246</v>
      </c>
      <c r="H3" s="11">
        <v>46250</v>
      </c>
      <c r="I3" s="11">
        <v>46614</v>
      </c>
      <c r="J3" s="12">
        <f>IF(B3="","",MAX(I3,_xlfn.MAXIFS(التمديدات!$C$2:$C$301,التمديدات!$A$2:$A$301,B3)))</f>
        <v>46614</v>
      </c>
      <c r="K3" s="7">
        <f t="shared" si="0"/>
        <v>12</v>
      </c>
      <c r="L3" s="26">
        <v>200000</v>
      </c>
      <c r="M3" s="27" t="s">
        <v>43</v>
      </c>
      <c r="N3" s="10" t="s">
        <v>214</v>
      </c>
      <c r="O3" s="10" t="s">
        <v>44</v>
      </c>
      <c r="P3" s="27" t="s">
        <v>49</v>
      </c>
      <c r="Q3" s="27"/>
      <c r="R3" s="7" t="str">
        <f ca="1">IF(B3="","",IF(Q3&lt;&gt;"",Q3,IF(H3&gt;TODAY(),"لم يبدأ بعد",IF(J3&lt;TODAY(),"منتهٍ",IF(J3-TODAY()&lt;='القوائم والإعدادات'!$E$2,"قريب الانتهاء","ساري")))))</f>
        <v>ساري</v>
      </c>
      <c r="S3" s="7">
        <f t="shared" ca="1" si="1"/>
        <v>306</v>
      </c>
      <c r="T3" s="7" t="str">
        <f ca="1">IF(OR(R3="ساري",R3="قريب الانتهاء"),IF(S3&lt;='القوائم والإعدادات'!$E$4,"عاجل",IF(S3&lt;='القوائم والإعدادات'!$E$3,"خلال 60 يوم",IF(S3&lt;='القوائم والإعدادات'!$E$2,"خلال 90 يوم",""))),"")</f>
        <v/>
      </c>
      <c r="U3" s="7">
        <f>IF(B3="","",COUNTIF(التمديدات!$A$2:$A$301,B3))</f>
        <v>0</v>
      </c>
      <c r="V3" s="10"/>
      <c r="W3" s="10"/>
      <c r="X3" s="7" t="str">
        <f t="shared" si="2"/>
        <v/>
      </c>
    </row>
    <row r="4" spans="1:24">
      <c r="A4" s="7">
        <v>3</v>
      </c>
      <c r="B4" s="10" t="s">
        <v>137</v>
      </c>
      <c r="C4" s="10" t="s">
        <v>138</v>
      </c>
      <c r="D4" s="10" t="s">
        <v>139</v>
      </c>
      <c r="E4" s="10" t="s">
        <v>42</v>
      </c>
      <c r="F4" s="10" t="s">
        <v>131</v>
      </c>
      <c r="G4" s="11">
        <v>46239</v>
      </c>
      <c r="H4" s="11">
        <v>46250</v>
      </c>
      <c r="I4" s="11">
        <v>46614</v>
      </c>
      <c r="J4" s="12">
        <f>IF(B4="","",MAX(I4,_xlfn.MAXIFS(التمديدات!$C$2:$C$301,التمديدات!$A$2:$A$301,B4)))</f>
        <v>46614</v>
      </c>
      <c r="K4" s="7">
        <f t="shared" si="0"/>
        <v>12</v>
      </c>
      <c r="L4" s="26">
        <v>300000</v>
      </c>
      <c r="M4" s="27" t="s">
        <v>43</v>
      </c>
      <c r="N4" s="10" t="s">
        <v>215</v>
      </c>
      <c r="O4" s="10" t="s">
        <v>44</v>
      </c>
      <c r="P4" s="27" t="s">
        <v>54</v>
      </c>
      <c r="Q4" s="27"/>
      <c r="R4" s="7" t="str">
        <f ca="1">IF(B4="","",IF(Q4&lt;&gt;"",Q4,IF(H4&gt;TODAY(),"لم يبدأ بعد",IF(J4&lt;TODAY(),"منتهٍ",IF(J4-TODAY()&lt;='القوائم والإعدادات'!$E$2,"قريب الانتهاء","ساري")))))</f>
        <v>ساري</v>
      </c>
      <c r="S4" s="7">
        <f t="shared" ca="1" si="1"/>
        <v>306</v>
      </c>
      <c r="T4" s="7" t="str">
        <f ca="1">IF(OR(R4="ساري",R4="قريب الانتهاء"),IF(S4&lt;='القوائم والإعدادات'!$E$4,"عاجل",IF(S4&lt;='القوائم والإعدادات'!$E$3,"خلال 60 يوم",IF(S4&lt;='القوائم والإعدادات'!$E$2,"خلال 90 يوم",""))),"")</f>
        <v/>
      </c>
      <c r="U4" s="7">
        <f>IF(B4="","",COUNTIF(التمديدات!$A$2:$A$301,B4))</f>
        <v>0</v>
      </c>
      <c r="V4" s="10"/>
      <c r="W4" s="10"/>
      <c r="X4" s="7" t="str">
        <f t="shared" si="2"/>
        <v/>
      </c>
    </row>
    <row r="5" spans="1:24">
      <c r="A5" s="7">
        <v>4</v>
      </c>
      <c r="B5" s="10" t="s">
        <v>140</v>
      </c>
      <c r="C5" s="10" t="s">
        <v>141</v>
      </c>
      <c r="D5" s="10" t="s">
        <v>142</v>
      </c>
      <c r="E5" s="10" t="s">
        <v>42</v>
      </c>
      <c r="F5" s="10" t="s">
        <v>131</v>
      </c>
      <c r="G5" s="11">
        <v>46245</v>
      </c>
      <c r="H5" s="11">
        <v>46250</v>
      </c>
      <c r="I5" s="11">
        <v>46614</v>
      </c>
      <c r="J5" s="12">
        <f>IF(B5="","",MAX(I5,_xlfn.MAXIFS(التمديدات!$C$2:$C$301,التمديدات!$A$2:$A$301,B5)))</f>
        <v>46614</v>
      </c>
      <c r="K5" s="7">
        <f t="shared" si="0"/>
        <v>12</v>
      </c>
      <c r="L5" s="26">
        <v>400000</v>
      </c>
      <c r="M5" s="27" t="s">
        <v>43</v>
      </c>
      <c r="N5" s="10" t="s">
        <v>216</v>
      </c>
      <c r="O5" s="10" t="s">
        <v>44</v>
      </c>
      <c r="P5" s="27" t="s">
        <v>59</v>
      </c>
      <c r="Q5" s="27"/>
      <c r="R5" s="7" t="str">
        <f ca="1">IF(B5="","",IF(Q5&lt;&gt;"",Q5,IF(H5&gt;TODAY(),"لم يبدأ بعد",IF(J5&lt;TODAY(),"منتهٍ",IF(J5-TODAY()&lt;='القوائم والإعدادات'!$E$2,"قريب الانتهاء","ساري")))))</f>
        <v>ساري</v>
      </c>
      <c r="S5" s="7">
        <f t="shared" ca="1" si="1"/>
        <v>306</v>
      </c>
      <c r="T5" s="7" t="str">
        <f ca="1">IF(OR(R5="ساري",R5="قريب الانتهاء"),IF(S5&lt;='القوائم والإعدادات'!$E$4,"عاجل",IF(S5&lt;='القوائم والإعدادات'!$E$3,"خلال 60 يوم",IF(S5&lt;='القوائم والإعدادات'!$E$2,"خلال 90 يوم",""))),"")</f>
        <v/>
      </c>
      <c r="U5" s="7">
        <f>IF(B5="","",COUNTIF(التمديدات!$A$2:$A$301,B5))</f>
        <v>0</v>
      </c>
      <c r="V5" s="10"/>
      <c r="W5" s="10"/>
      <c r="X5" s="7" t="str">
        <f t="shared" si="2"/>
        <v/>
      </c>
    </row>
    <row r="6" spans="1:24">
      <c r="A6" s="7">
        <v>5</v>
      </c>
      <c r="B6" s="10" t="s">
        <v>144</v>
      </c>
      <c r="C6" s="10" t="s">
        <v>145</v>
      </c>
      <c r="D6" s="10" t="s">
        <v>146</v>
      </c>
      <c r="E6" s="10" t="s">
        <v>147</v>
      </c>
      <c r="F6" s="10" t="s">
        <v>148</v>
      </c>
      <c r="G6" s="11">
        <v>46245</v>
      </c>
      <c r="H6" s="11">
        <v>46250</v>
      </c>
      <c r="I6" s="11">
        <v>46614</v>
      </c>
      <c r="J6" s="12">
        <f>IF(B6="","",MAX(I6,_xlfn.MAXIFS(التمديدات!$C$2:$C$301,التمديدات!$A$2:$A$301,B6)))</f>
        <v>46614</v>
      </c>
      <c r="K6" s="7">
        <f t="shared" si="0"/>
        <v>12</v>
      </c>
      <c r="L6" s="26">
        <v>500000</v>
      </c>
      <c r="M6" s="27" t="s">
        <v>43</v>
      </c>
      <c r="N6" s="10" t="s">
        <v>149</v>
      </c>
      <c r="O6" s="10" t="s">
        <v>44</v>
      </c>
      <c r="P6" s="27" t="s">
        <v>62</v>
      </c>
      <c r="Q6" s="27"/>
      <c r="R6" s="7" t="str">
        <f ca="1">IF(B6="","",IF(Q6&lt;&gt;"",Q6,IF(H6&gt;TODAY(),"لم يبدأ بعد",IF(J6&lt;TODAY(),"منتهٍ",IF(J6-TODAY()&lt;='القوائم والإعدادات'!$E$2,"قريب الانتهاء","ساري")))))</f>
        <v>ساري</v>
      </c>
      <c r="S6" s="7">
        <f t="shared" ca="1" si="1"/>
        <v>306</v>
      </c>
      <c r="T6" s="7" t="str">
        <f ca="1">IF(OR(R6="ساري",R6="قريب الانتهاء"),IF(S6&lt;='القوائم والإعدادات'!$E$4,"عاجل",IF(S6&lt;='القوائم والإعدادات'!$E$3,"خلال 60 يوم",IF(S6&lt;='القوائم والإعدادات'!$E$2,"خلال 90 يوم",""))),"")</f>
        <v/>
      </c>
      <c r="U6" s="7">
        <f>IF(B6="","",COUNTIF(التمديدات!$A$2:$A$301,B6))</f>
        <v>0</v>
      </c>
      <c r="V6" s="10"/>
      <c r="W6" s="10"/>
      <c r="X6" s="7" t="str">
        <f t="shared" si="2"/>
        <v/>
      </c>
    </row>
    <row r="7" spans="1:24">
      <c r="A7" s="7">
        <v>6</v>
      </c>
      <c r="B7" s="10" t="s">
        <v>150</v>
      </c>
      <c r="C7" s="10" t="s">
        <v>151</v>
      </c>
      <c r="D7" s="10" t="s">
        <v>152</v>
      </c>
      <c r="E7" s="10" t="s">
        <v>42</v>
      </c>
      <c r="F7" s="10" t="s">
        <v>131</v>
      </c>
      <c r="G7" s="11">
        <v>46245</v>
      </c>
      <c r="H7" s="11">
        <v>46250</v>
      </c>
      <c r="I7" s="11">
        <v>46614</v>
      </c>
      <c r="J7" s="12">
        <f>IF(B7="","",MAX(I7,_xlfn.MAXIFS(التمديدات!$C$2:$C$301,التمديدات!$A$2:$A$301,B7)))</f>
        <v>46614</v>
      </c>
      <c r="K7" s="7">
        <f t="shared" si="0"/>
        <v>12</v>
      </c>
      <c r="L7" s="26">
        <v>600000</v>
      </c>
      <c r="M7" s="27" t="s">
        <v>43</v>
      </c>
      <c r="N7" s="10" t="s">
        <v>217</v>
      </c>
      <c r="O7" s="10" t="s">
        <v>44</v>
      </c>
      <c r="P7" s="27" t="s">
        <v>65</v>
      </c>
      <c r="Q7" s="27"/>
      <c r="R7" s="7" t="str">
        <f ca="1">IF(B7="","",IF(Q7&lt;&gt;"",Q7,IF(H7&gt;TODAY(),"لم يبدأ بعد",IF(J7&lt;TODAY(),"منتهٍ",IF(J7-TODAY()&lt;='القوائم والإعدادات'!$E$2,"قريب الانتهاء","ساري")))))</f>
        <v>ساري</v>
      </c>
      <c r="S7" s="7">
        <f t="shared" ca="1" si="1"/>
        <v>306</v>
      </c>
      <c r="T7" s="7" t="str">
        <f ca="1">IF(OR(R7="ساري",R7="قريب الانتهاء"),IF(S7&lt;='القوائم والإعدادات'!$E$4,"عاجل",IF(S7&lt;='القوائم والإعدادات'!$E$3,"خلال 60 يوم",IF(S7&lt;='القوائم والإعدادات'!$E$2,"خلال 90 يوم",""))),"")</f>
        <v/>
      </c>
      <c r="U7" s="7">
        <f>IF(B7="","",COUNTIF(التمديدات!$A$2:$A$301,B7))</f>
        <v>0</v>
      </c>
      <c r="V7" s="10"/>
      <c r="W7" s="10"/>
      <c r="X7" s="7" t="str">
        <f t="shared" si="2"/>
        <v/>
      </c>
    </row>
    <row r="8" spans="1:24">
      <c r="A8" s="7">
        <v>7</v>
      </c>
      <c r="B8" s="10" t="s">
        <v>153</v>
      </c>
      <c r="C8" s="10" t="s">
        <v>154</v>
      </c>
      <c r="D8" s="10" t="s">
        <v>155</v>
      </c>
      <c r="E8" s="10" t="s">
        <v>42</v>
      </c>
      <c r="F8" s="10" t="s">
        <v>131</v>
      </c>
      <c r="G8" s="11">
        <v>45878</v>
      </c>
      <c r="H8" s="11">
        <v>46250</v>
      </c>
      <c r="I8" s="11">
        <v>46614</v>
      </c>
      <c r="J8" s="12">
        <f>IF(B8="","",MAX(I8,_xlfn.MAXIFS(التمديدات!$C$2:$C$301,التمديدات!$A$2:$A$301,B8)))</f>
        <v>46614</v>
      </c>
      <c r="K8" s="7">
        <f t="shared" si="0"/>
        <v>12</v>
      </c>
      <c r="L8" s="26">
        <v>700000</v>
      </c>
      <c r="M8" s="27" t="s">
        <v>43</v>
      </c>
      <c r="N8" s="10" t="s">
        <v>218</v>
      </c>
      <c r="O8" s="10" t="s">
        <v>44</v>
      </c>
      <c r="P8" s="27" t="s">
        <v>67</v>
      </c>
      <c r="Q8" s="27"/>
      <c r="R8" s="7" t="str">
        <f ca="1">IF(B8="","",IF(Q8&lt;&gt;"",Q8,IF(H8&gt;TODAY(),"لم يبدأ بعد",IF(J8&lt;TODAY(),"منتهٍ",IF(J8-TODAY()&lt;='القوائم والإعدادات'!$E$2,"قريب الانتهاء","ساري")))))</f>
        <v>ساري</v>
      </c>
      <c r="S8" s="7">
        <f t="shared" ca="1" si="1"/>
        <v>306</v>
      </c>
      <c r="T8" s="7" t="str">
        <f ca="1">IF(OR(R8="ساري",R8="قريب الانتهاء"),IF(S8&lt;='القوائم والإعدادات'!$E$4,"عاجل",IF(S8&lt;='القوائم والإعدادات'!$E$3,"خلال 60 يوم",IF(S8&lt;='القوائم والإعدادات'!$E$2,"خلال 90 يوم",""))),"")</f>
        <v/>
      </c>
      <c r="U8" s="7">
        <f>IF(B8="","",COUNTIF(التمديدات!$A$2:$A$301,B8))</f>
        <v>0</v>
      </c>
      <c r="V8" s="10"/>
      <c r="W8" s="10"/>
      <c r="X8" s="7" t="str">
        <f t="shared" si="2"/>
        <v/>
      </c>
    </row>
    <row r="9" spans="1:24">
      <c r="A9" s="7">
        <v>8</v>
      </c>
      <c r="B9" s="10" t="s">
        <v>156</v>
      </c>
      <c r="C9" s="10" t="s">
        <v>157</v>
      </c>
      <c r="D9" s="10" t="s">
        <v>158</v>
      </c>
      <c r="E9" s="10" t="s">
        <v>42</v>
      </c>
      <c r="F9" s="10" t="s">
        <v>131</v>
      </c>
      <c r="G9" s="11">
        <v>46246</v>
      </c>
      <c r="H9" s="11">
        <v>46250</v>
      </c>
      <c r="I9" s="11">
        <v>46614</v>
      </c>
      <c r="J9" s="12">
        <f>IF(B9="","",MAX(I9,_xlfn.MAXIFS(التمديدات!$C$2:$C$301,التمديدات!$A$2:$A$301,B9)))</f>
        <v>46614</v>
      </c>
      <c r="K9" s="7">
        <f t="shared" si="0"/>
        <v>12</v>
      </c>
      <c r="L9" s="26">
        <v>800000</v>
      </c>
      <c r="M9" s="27" t="s">
        <v>43</v>
      </c>
      <c r="N9" s="10" t="s">
        <v>219</v>
      </c>
      <c r="O9" s="10" t="s">
        <v>44</v>
      </c>
      <c r="P9" s="27" t="s">
        <v>68</v>
      </c>
      <c r="Q9" s="27"/>
      <c r="R9" s="7" t="str">
        <f ca="1">IF(B9="","",IF(Q9&lt;&gt;"",Q9,IF(H9&gt;TODAY(),"لم يبدأ بعد",IF(J9&lt;TODAY(),"منتهٍ",IF(J9-TODAY()&lt;='القوائم والإعدادات'!$E$2,"قريب الانتهاء","ساري")))))</f>
        <v>ساري</v>
      </c>
      <c r="S9" s="7">
        <f t="shared" ca="1" si="1"/>
        <v>306</v>
      </c>
      <c r="T9" s="7" t="str">
        <f ca="1">IF(OR(R9="ساري",R9="قريب الانتهاء"),IF(S9&lt;='القوائم والإعدادات'!$E$4,"عاجل",IF(S9&lt;='القوائم والإعدادات'!$E$3,"خلال 60 يوم",IF(S9&lt;='القوائم والإعدادات'!$E$2,"خلال 90 يوم",""))),"")</f>
        <v/>
      </c>
      <c r="U9" s="7">
        <f>IF(B9="","",COUNTIF(التمديدات!$A$2:$A$301,B9))</f>
        <v>0</v>
      </c>
      <c r="V9" s="10"/>
      <c r="W9" s="10"/>
      <c r="X9" s="7" t="str">
        <f t="shared" si="2"/>
        <v/>
      </c>
    </row>
    <row r="10" spans="1:24">
      <c r="A10" s="7">
        <v>9</v>
      </c>
      <c r="B10" s="10" t="s">
        <v>159</v>
      </c>
      <c r="C10" s="10" t="s">
        <v>160</v>
      </c>
      <c r="D10" s="10" t="s">
        <v>161</v>
      </c>
      <c r="E10" s="10" t="s">
        <v>42</v>
      </c>
      <c r="F10" s="10" t="s">
        <v>131</v>
      </c>
      <c r="G10" s="11">
        <v>46260</v>
      </c>
      <c r="H10" s="11">
        <v>46264</v>
      </c>
      <c r="I10" s="11">
        <v>46628</v>
      </c>
      <c r="J10" s="12">
        <f>IF(B10="","",MAX(I10,_xlfn.MAXIFS(التمديدات!$C$2:$C$301,التمديدات!$A$2:$A$301,B10)))</f>
        <v>46628</v>
      </c>
      <c r="K10" s="7">
        <f t="shared" si="0"/>
        <v>12</v>
      </c>
      <c r="L10" s="26">
        <v>900000</v>
      </c>
      <c r="M10" s="27" t="s">
        <v>43</v>
      </c>
      <c r="N10" s="10" t="s">
        <v>220</v>
      </c>
      <c r="O10" s="10" t="s">
        <v>44</v>
      </c>
      <c r="P10" s="27" t="s">
        <v>69</v>
      </c>
      <c r="Q10" s="27"/>
      <c r="R10" s="7" t="str">
        <f ca="1">IF(B10="","",IF(Q10&lt;&gt;"",Q10,IF(H10&gt;TODAY(),"لم يبدأ بعد",IF(J10&lt;TODAY(),"منتهٍ",IF(J10-TODAY()&lt;='القوائم والإعدادات'!$E$2,"قريب الانتهاء","ساري")))))</f>
        <v>ساري</v>
      </c>
      <c r="S10" s="7">
        <f t="shared" ca="1" si="1"/>
        <v>320</v>
      </c>
      <c r="T10" s="7" t="str">
        <f ca="1">IF(OR(R10="ساري",R10="قريب الانتهاء"),IF(S10&lt;='القوائم والإعدادات'!$E$4,"عاجل",IF(S10&lt;='القوائم والإعدادات'!$E$3,"خلال 60 يوم",IF(S10&lt;='القوائم والإعدادات'!$E$2,"خلال 90 يوم",""))),"")</f>
        <v/>
      </c>
      <c r="U10" s="7">
        <f>IF(B10="","",COUNTIF(التمديدات!$A$2:$A$301,B10))</f>
        <v>0</v>
      </c>
      <c r="V10" s="10"/>
      <c r="W10" s="10"/>
      <c r="X10" s="7" t="str">
        <f t="shared" si="2"/>
        <v/>
      </c>
    </row>
    <row r="11" spans="1:24">
      <c r="A11" s="7">
        <v>10</v>
      </c>
      <c r="B11" s="10" t="s">
        <v>162</v>
      </c>
      <c r="C11" s="10" t="s">
        <v>145</v>
      </c>
      <c r="D11" s="10" t="s">
        <v>163</v>
      </c>
      <c r="E11" s="10" t="s">
        <v>164</v>
      </c>
      <c r="F11" s="10" t="s">
        <v>164</v>
      </c>
      <c r="G11" s="11">
        <v>46253</v>
      </c>
      <c r="H11" s="11">
        <v>46254</v>
      </c>
      <c r="I11" s="11">
        <v>46618</v>
      </c>
      <c r="J11" s="12">
        <f>IF(B11="","",MAX(I11,_xlfn.MAXIFS(التمديدات!$C$2:$C$301,التمديدات!$A$2:$A$301,B11)))</f>
        <v>46618</v>
      </c>
      <c r="K11" s="7">
        <f t="shared" si="0"/>
        <v>12</v>
      </c>
      <c r="L11" s="26">
        <v>1000000</v>
      </c>
      <c r="M11" s="27" t="s">
        <v>43</v>
      </c>
      <c r="N11" s="10" t="s">
        <v>165</v>
      </c>
      <c r="O11" s="10" t="s">
        <v>44</v>
      </c>
      <c r="P11" s="27" t="s">
        <v>70</v>
      </c>
      <c r="Q11" s="27" t="s">
        <v>71</v>
      </c>
      <c r="R11" s="7" t="str">
        <f ca="1">IF(B11="","",IF(Q11&lt;&gt;"",Q11,IF(H11&gt;TODAY(),"لم يبدأ بعد",IF(J11&lt;TODAY(),"منتهٍ",IF(J11-TODAY()&lt;='القوائم والإعدادات'!$E$2,"قريب الانتهاء","ساري")))))</f>
        <v>معلق</v>
      </c>
      <c r="S11" s="7">
        <f t="shared" ca="1" si="1"/>
        <v>310</v>
      </c>
      <c r="T11" s="7" t="str">
        <f ca="1">IF(OR(R11="ساري",R11="قريب الانتهاء"),IF(S11&lt;='القوائم والإعدادات'!$E$4,"عاجل",IF(S11&lt;='القوائم والإعدادات'!$E$3,"خلال 60 يوم",IF(S11&lt;='القوائم والإعدادات'!$E$2,"خلال 90 يوم",""))),"")</f>
        <v/>
      </c>
      <c r="U11" s="7">
        <f>IF(B11="","",COUNTIF(التمديدات!$A$2:$A$301,B11))</f>
        <v>0</v>
      </c>
      <c r="V11" s="10"/>
      <c r="W11" s="10"/>
      <c r="X11" s="7" t="str">
        <f t="shared" si="2"/>
        <v/>
      </c>
    </row>
    <row r="12" spans="1:24">
      <c r="A12" s="7">
        <v>11</v>
      </c>
      <c r="B12" s="10" t="s">
        <v>166</v>
      </c>
      <c r="C12" s="10" t="s">
        <v>168</v>
      </c>
      <c r="D12" s="10" t="s">
        <v>167</v>
      </c>
      <c r="E12" s="10" t="s">
        <v>42</v>
      </c>
      <c r="F12" s="10" t="s">
        <v>131</v>
      </c>
      <c r="G12" s="11">
        <v>46244</v>
      </c>
      <c r="H12" s="11">
        <v>46250</v>
      </c>
      <c r="I12" s="11">
        <v>46614</v>
      </c>
      <c r="J12" s="12">
        <f>IF(B12="","",MAX(I12,_xlfn.MAXIFS(التمديدات!$C$2:$C$301,التمديدات!$A$2:$A$301,B12)))</f>
        <v>46614</v>
      </c>
      <c r="K12" s="7">
        <f t="shared" si="0"/>
        <v>12</v>
      </c>
      <c r="L12" s="26"/>
      <c r="M12" s="27"/>
      <c r="N12" s="29" t="s">
        <v>221</v>
      </c>
      <c r="O12" s="10" t="s">
        <v>44</v>
      </c>
      <c r="P12" s="27"/>
      <c r="Q12" s="27"/>
      <c r="R12" s="7" t="str">
        <f ca="1">IF(B12="","",IF(Q12&lt;&gt;"",Q12,IF(H12&gt;TODAY(),"لم يبدأ بعد",IF(J12&lt;TODAY(),"منتهٍ",IF(J12-TODAY()&lt;='القوائم والإعدادات'!$E$2,"قريب الانتهاء","ساري")))))</f>
        <v>ساري</v>
      </c>
      <c r="S12" s="7">
        <f t="shared" ca="1" si="1"/>
        <v>306</v>
      </c>
      <c r="T12" s="7" t="str">
        <f ca="1">IF(OR(R12="ساري",R12="قريب الانتهاء"),IF(S12&lt;='القوائم والإعدادات'!$E$4,"عاجل",IF(S12&lt;='القوائم والإعدادات'!$E$3,"خلال 60 يوم",IF(S12&lt;='القوائم والإعدادات'!$E$2,"خلال 90 يوم",""))),"")</f>
        <v/>
      </c>
      <c r="U12" s="7">
        <f>IF(B12="","",COUNTIF(التمديدات!$A$2:$A$301,B12))</f>
        <v>0</v>
      </c>
      <c r="V12" s="10"/>
      <c r="W12" s="10"/>
      <c r="X12" s="7" t="str">
        <f t="shared" si="2"/>
        <v/>
      </c>
    </row>
    <row r="13" spans="1:24">
      <c r="A13" s="7">
        <v>12</v>
      </c>
      <c r="B13" s="10" t="s">
        <v>169</v>
      </c>
      <c r="C13" s="10" t="s">
        <v>170</v>
      </c>
      <c r="D13" s="10" t="s">
        <v>171</v>
      </c>
      <c r="E13" s="10" t="s">
        <v>42</v>
      </c>
      <c r="F13" s="10" t="s">
        <v>131</v>
      </c>
      <c r="G13" s="11">
        <v>46245</v>
      </c>
      <c r="H13" s="11">
        <v>46250</v>
      </c>
      <c r="I13" s="11">
        <v>46614</v>
      </c>
      <c r="J13" s="12">
        <f>IF(B13="","",MAX(I13,_xlfn.MAXIFS(التمديدات!$C$2:$C$301,التمديدات!$A$2:$A$301,B13)))</f>
        <v>46614</v>
      </c>
      <c r="K13" s="7">
        <f t="shared" si="0"/>
        <v>12</v>
      </c>
      <c r="L13" s="26"/>
      <c r="M13" s="27"/>
      <c r="N13" s="29" t="s">
        <v>222</v>
      </c>
      <c r="O13" s="10" t="s">
        <v>44</v>
      </c>
      <c r="P13" s="27"/>
      <c r="Q13" s="27"/>
      <c r="R13" s="7" t="str">
        <f ca="1">IF(B13="","",IF(Q13&lt;&gt;"",Q13,IF(H13&gt;TODAY(),"لم يبدأ بعد",IF(J13&lt;TODAY(),"منتهٍ",IF(J13-TODAY()&lt;='القوائم والإعدادات'!$E$2,"قريب الانتهاء","ساري")))))</f>
        <v>ساري</v>
      </c>
      <c r="S13" s="7">
        <f t="shared" ca="1" si="1"/>
        <v>306</v>
      </c>
      <c r="T13" s="7" t="str">
        <f ca="1">IF(OR(R13="ساري",R13="قريب الانتهاء"),IF(S13&lt;='القوائم والإعدادات'!$E$4,"عاجل",IF(S13&lt;='القوائم والإعدادات'!$E$3,"خلال 60 يوم",IF(S13&lt;='القوائم والإعدادات'!$E$2,"خلال 90 يوم",""))),"")</f>
        <v/>
      </c>
      <c r="U13" s="7">
        <f>IF(B13="","",COUNTIF(التمديدات!$A$2:$A$301,B13))</f>
        <v>0</v>
      </c>
      <c r="V13" s="10"/>
      <c r="W13" s="10" t="s">
        <v>223</v>
      </c>
      <c r="X13" s="7" t="str">
        <f t="shared" si="2"/>
        <v/>
      </c>
    </row>
    <row r="14" spans="1:24">
      <c r="A14" s="7">
        <v>13</v>
      </c>
      <c r="B14" s="10" t="s">
        <v>172</v>
      </c>
      <c r="C14" s="10" t="s">
        <v>173</v>
      </c>
      <c r="D14" s="10" t="s">
        <v>174</v>
      </c>
      <c r="E14" s="10" t="s">
        <v>42</v>
      </c>
      <c r="F14" s="10" t="s">
        <v>131</v>
      </c>
      <c r="G14" s="11">
        <v>46243</v>
      </c>
      <c r="H14" s="11">
        <v>46250</v>
      </c>
      <c r="I14" s="11">
        <v>46614</v>
      </c>
      <c r="J14" s="12">
        <f>IF(B14="","",MAX(I14,_xlfn.MAXIFS(التمديدات!$C$2:$C$301,التمديدات!$A$2:$A$301,B14)))</f>
        <v>46614</v>
      </c>
      <c r="K14" s="7">
        <f t="shared" si="0"/>
        <v>12</v>
      </c>
      <c r="L14" s="26"/>
      <c r="M14" s="27"/>
      <c r="N14" s="29" t="s">
        <v>224</v>
      </c>
      <c r="O14" s="10" t="s">
        <v>44</v>
      </c>
      <c r="P14" s="27"/>
      <c r="Q14" s="27"/>
      <c r="R14" s="7" t="str">
        <f ca="1">IF(B14="","",IF(Q14&lt;&gt;"",Q14,IF(H14&gt;TODAY(),"لم يبدأ بعد",IF(J14&lt;TODAY(),"منتهٍ",IF(J14-TODAY()&lt;='القوائم والإعدادات'!$E$2,"قريب الانتهاء","ساري")))))</f>
        <v>ساري</v>
      </c>
      <c r="S14" s="7">
        <f t="shared" ca="1" si="1"/>
        <v>306</v>
      </c>
      <c r="T14" s="7" t="str">
        <f ca="1">IF(OR(R14="ساري",R14="قريب الانتهاء"),IF(S14&lt;='القوائم والإعدادات'!$E$4,"عاجل",IF(S14&lt;='القوائم والإعدادات'!$E$3,"خلال 60 يوم",IF(S14&lt;='القوائم والإعدادات'!$E$2,"خلال 90 يوم",""))),"")</f>
        <v/>
      </c>
      <c r="U14" s="7">
        <f>IF(B14="","",COUNTIF(التمديدات!$A$2:$A$301,B14))</f>
        <v>0</v>
      </c>
      <c r="V14" s="10"/>
      <c r="W14" s="10"/>
      <c r="X14" s="7" t="str">
        <f t="shared" si="2"/>
        <v/>
      </c>
    </row>
    <row r="15" spans="1:24">
      <c r="A15" s="7">
        <v>14</v>
      </c>
      <c r="B15" s="10" t="s">
        <v>175</v>
      </c>
      <c r="C15" s="10" t="s">
        <v>176</v>
      </c>
      <c r="D15" s="10" t="s">
        <v>177</v>
      </c>
      <c r="E15" s="10" t="s">
        <v>42</v>
      </c>
      <c r="F15" s="10" t="s">
        <v>131</v>
      </c>
      <c r="G15" s="11">
        <v>46243</v>
      </c>
      <c r="H15" s="11">
        <v>46247</v>
      </c>
      <c r="I15" s="11">
        <v>46611</v>
      </c>
      <c r="J15" s="12">
        <f>IF(B15="","",MAX(I15,_xlfn.MAXIFS(التمديدات!$C$2:$C$301,التمديدات!$A$2:$A$301,B15)))</f>
        <v>46611</v>
      </c>
      <c r="K15" s="7">
        <f t="shared" si="0"/>
        <v>12</v>
      </c>
      <c r="L15" s="26"/>
      <c r="M15" s="27"/>
      <c r="N15" s="29" t="s">
        <v>225</v>
      </c>
      <c r="O15" s="10" t="s">
        <v>44</v>
      </c>
      <c r="P15" s="27"/>
      <c r="Q15" s="27"/>
      <c r="R15" s="7" t="str">
        <f ca="1">IF(B15="","",IF(Q15&lt;&gt;"",Q15,IF(H15&gt;TODAY(),"لم يبدأ بعد",IF(J15&lt;TODAY(),"منتهٍ",IF(J15-TODAY()&lt;='القوائم والإعدادات'!$E$2,"قريب الانتهاء","ساري")))))</f>
        <v>ساري</v>
      </c>
      <c r="S15" s="7">
        <f t="shared" ca="1" si="1"/>
        <v>303</v>
      </c>
      <c r="T15" s="7" t="str">
        <f ca="1">IF(OR(R15="ساري",R15="قريب الانتهاء"),IF(S15&lt;='القوائم والإعدادات'!$E$4,"عاجل",IF(S15&lt;='القوائم والإعدادات'!$E$3,"خلال 60 يوم",IF(S15&lt;='القوائم والإعدادات'!$E$2,"خلال 90 يوم",""))),"")</f>
        <v/>
      </c>
      <c r="U15" s="7">
        <f>IF(B15="","",COUNTIF(التمديدات!$A$2:$A$301,B15))</f>
        <v>0</v>
      </c>
      <c r="V15" s="10"/>
      <c r="W15" s="10"/>
      <c r="X15" s="7" t="str">
        <f t="shared" si="2"/>
        <v/>
      </c>
    </row>
    <row r="16" spans="1:24">
      <c r="A16" s="7">
        <v>15</v>
      </c>
      <c r="B16" s="10" t="s">
        <v>178</v>
      </c>
      <c r="C16" s="10" t="s">
        <v>179</v>
      </c>
      <c r="D16" s="10" t="s">
        <v>180</v>
      </c>
      <c r="E16" s="10" t="s">
        <v>42</v>
      </c>
      <c r="F16" s="10" t="s">
        <v>131</v>
      </c>
      <c r="G16" s="11">
        <v>46244</v>
      </c>
      <c r="H16" s="11">
        <v>46247</v>
      </c>
      <c r="I16" s="11">
        <v>46611</v>
      </c>
      <c r="J16" s="12">
        <f>IF(B16="","",MAX(I16,_xlfn.MAXIFS(التمديدات!$C$2:$C$301,التمديدات!$A$2:$A$301,B16)))</f>
        <v>46611</v>
      </c>
      <c r="K16" s="7">
        <f t="shared" si="0"/>
        <v>12</v>
      </c>
      <c r="L16" s="26"/>
      <c r="M16" s="27"/>
      <c r="N16" s="29" t="s">
        <v>226</v>
      </c>
      <c r="O16" s="10" t="s">
        <v>44</v>
      </c>
      <c r="P16" s="27"/>
      <c r="Q16" s="27"/>
      <c r="R16" s="7" t="str">
        <f ca="1">IF(B16="","",IF(Q16&lt;&gt;"",Q16,IF(H16&gt;TODAY(),"لم يبدأ بعد",IF(J16&lt;TODAY(),"منتهٍ",IF(J16-TODAY()&lt;='القوائم والإعدادات'!$E$2,"قريب الانتهاء","ساري")))))</f>
        <v>ساري</v>
      </c>
      <c r="S16" s="7">
        <f t="shared" ca="1" si="1"/>
        <v>303</v>
      </c>
      <c r="T16" s="7" t="str">
        <f ca="1">IF(OR(R16="ساري",R16="قريب الانتهاء"),IF(S16&lt;='القوائم والإعدادات'!$E$4,"عاجل",IF(S16&lt;='القوائم والإعدادات'!$E$3,"خلال 60 يوم",IF(S16&lt;='القوائم والإعدادات'!$E$2,"خلال 90 يوم",""))),"")</f>
        <v/>
      </c>
      <c r="U16" s="7">
        <f>IF(B16="","",COUNTIF(التمديدات!$A$2:$A$301,B16))</f>
        <v>0</v>
      </c>
      <c r="V16" s="10"/>
      <c r="W16" s="10"/>
      <c r="X16" s="7" t="str">
        <f t="shared" si="2"/>
        <v/>
      </c>
    </row>
    <row r="17" spans="1:24">
      <c r="A17" s="7">
        <v>16</v>
      </c>
      <c r="B17" s="10" t="s">
        <v>181</v>
      </c>
      <c r="C17" s="30" t="s">
        <v>182</v>
      </c>
      <c r="D17" s="10" t="s">
        <v>183</v>
      </c>
      <c r="E17" s="10" t="s">
        <v>147</v>
      </c>
      <c r="F17" s="10" t="s">
        <v>148</v>
      </c>
      <c r="G17" s="11">
        <v>46244</v>
      </c>
      <c r="H17" s="11">
        <v>46250</v>
      </c>
      <c r="I17" s="11">
        <v>46614</v>
      </c>
      <c r="J17" s="12">
        <f>IF(B17="","",MAX(I17,_xlfn.MAXIFS(التمديدات!$C$2:$C$301,التمديدات!$A$2:$A$301,B17)))</f>
        <v>46614</v>
      </c>
      <c r="K17" s="7">
        <f t="shared" si="0"/>
        <v>12</v>
      </c>
      <c r="L17" s="26"/>
      <c r="M17" s="27"/>
      <c r="N17" s="29" t="s">
        <v>212</v>
      </c>
      <c r="O17" s="10" t="s">
        <v>44</v>
      </c>
      <c r="P17" s="27"/>
      <c r="Q17" s="27"/>
      <c r="R17" s="7" t="str">
        <f ca="1">IF(B2="","",IF(Q17&lt;&gt;"",Q17,IF(I2&gt;TODAY(),"لم يبدأ بعد",IF(J17&lt;TODAY(),"منتهٍ",IF(J17-TODAY()&lt;='القوائم والإعدادات'!$E$2,"قريب الانتهاء","ساري")))))</f>
        <v>لم يبدأ بعد</v>
      </c>
      <c r="S17" s="7">
        <f ca="1">IF(B2="","",J17-TODAY())</f>
        <v>306</v>
      </c>
      <c r="T17" s="7" t="str">
        <f ca="1">IF(OR(R17="ساري",R17="قريب الانتهاء"),IF(S17&lt;='القوائم والإعدادات'!$E$4,"عاجل",IF(S17&lt;='القوائم والإعدادات'!$E$3,"خلال 60 يوم",IF(S17&lt;='القوائم والإعدادات'!$E$2,"خلال 90 يوم",""))),"")</f>
        <v/>
      </c>
      <c r="U17" s="7">
        <f>IF(B2="","",COUNTIF(التمديدات!$A$2:$A$301,B2))</f>
        <v>0</v>
      </c>
      <c r="V17" s="10"/>
      <c r="W17" s="10"/>
      <c r="X17" s="7" t="str">
        <f>IF(B2="","",IF(COUNTIFS($B$2:$B$501,B2,$D$2:$D$501,D17)&gt;1,"مكرر!",""))</f>
        <v/>
      </c>
    </row>
    <row r="18" spans="1:24">
      <c r="A18" s="7">
        <v>17</v>
      </c>
      <c r="B18" s="10" t="s">
        <v>184</v>
      </c>
      <c r="C18" s="10" t="s">
        <v>185</v>
      </c>
      <c r="D18" s="10" t="s">
        <v>186</v>
      </c>
      <c r="E18" s="10" t="s">
        <v>164</v>
      </c>
      <c r="F18" s="10" t="s">
        <v>164</v>
      </c>
      <c r="G18" s="11">
        <v>46250</v>
      </c>
      <c r="H18" s="11">
        <v>46252</v>
      </c>
      <c r="I18" s="11">
        <v>46616</v>
      </c>
      <c r="J18" s="12">
        <f>IF(B18="","",MAX(I18,_xlfn.MAXIFS(التمديدات!$C$2:$C$301,التمديدات!$A$2:$A$301,B18)))</f>
        <v>46616</v>
      </c>
      <c r="K18" s="7">
        <f t="shared" si="0"/>
        <v>12</v>
      </c>
      <c r="L18" s="26"/>
      <c r="M18" s="27"/>
      <c r="N18" s="29" t="s">
        <v>187</v>
      </c>
      <c r="O18" s="10" t="s">
        <v>44</v>
      </c>
      <c r="P18" s="27"/>
      <c r="Q18" s="27"/>
      <c r="R18" s="7" t="str">
        <f ca="1">IF(B18="","",IF(Q18&lt;&gt;"",Q18,IF(H18&gt;TODAY(),"لم يبدأ بعد",IF(J18&lt;TODAY(),"منتهٍ",IF(J18-TODAY()&lt;='القوائم والإعدادات'!$E$2,"قريب الانتهاء","ساري")))))</f>
        <v>ساري</v>
      </c>
      <c r="S18" s="7">
        <f t="shared" ref="S18:S81" ca="1" si="3">IF(B18="","",J18-TODAY())</f>
        <v>308</v>
      </c>
      <c r="T18" s="7" t="str">
        <f ca="1">IF(OR(R18="ساري",R18="قريب الانتهاء"),IF(S18&lt;='القوائم والإعدادات'!$E$4,"عاجل",IF(S18&lt;='القوائم والإعدادات'!$E$3,"خلال 60 يوم",IF(S18&lt;='القوائم والإعدادات'!$E$2,"خلال 90 يوم",""))),"")</f>
        <v/>
      </c>
      <c r="U18" s="7">
        <f>IF(B18="","",COUNTIF(التمديدات!$A$2:$A$301,B18))</f>
        <v>0</v>
      </c>
      <c r="V18" s="10"/>
      <c r="W18" s="10"/>
      <c r="X18" s="7" t="str">
        <f t="shared" ref="X18:X81" si="4">IF(B18="","",IF(COUNTIFS($B$2:$B$501,B18,$D$2:$D$501,D18)&gt;1,"مكرر!",""))</f>
        <v/>
      </c>
    </row>
    <row r="19" spans="1:24">
      <c r="A19" s="7">
        <v>18</v>
      </c>
      <c r="B19" s="10" t="s">
        <v>189</v>
      </c>
      <c r="C19" s="10" t="s">
        <v>135</v>
      </c>
      <c r="D19" s="10" t="s">
        <v>188</v>
      </c>
      <c r="E19" s="10" t="s">
        <v>42</v>
      </c>
      <c r="F19" s="10" t="s">
        <v>131</v>
      </c>
      <c r="G19" s="11">
        <v>46260</v>
      </c>
      <c r="H19" s="11">
        <v>46264</v>
      </c>
      <c r="I19" s="11">
        <v>46628</v>
      </c>
      <c r="J19" s="12">
        <f>IF(B19="","",MAX(I19,_xlfn.MAXIFS(التمديدات!$C$2:$C$301,التمديدات!$A$2:$A$301,B19)))</f>
        <v>46628</v>
      </c>
      <c r="K19" s="7">
        <f t="shared" si="0"/>
        <v>12</v>
      </c>
      <c r="L19" s="26"/>
      <c r="M19" s="27"/>
      <c r="N19" s="29" t="s">
        <v>211</v>
      </c>
      <c r="O19" s="10" t="s">
        <v>44</v>
      </c>
      <c r="P19" s="27"/>
      <c r="Q19" s="27"/>
      <c r="R19" s="7" t="str">
        <f ca="1">IF(B19="","",IF(Q19&lt;&gt;"",Q19,IF(H19&gt;TODAY(),"لم يبدأ بعد",IF(J19&lt;TODAY(),"منتهٍ",IF(J19-TODAY()&lt;='القوائم والإعدادات'!$E$2,"قريب الانتهاء","ساري")))))</f>
        <v>ساري</v>
      </c>
      <c r="S19" s="7">
        <f t="shared" ca="1" si="3"/>
        <v>320</v>
      </c>
      <c r="T19" s="7" t="str">
        <f ca="1">IF(OR(R19="ساري",R19="قريب الانتهاء"),IF(S19&lt;='القوائم والإعدادات'!$E$4,"عاجل",IF(S19&lt;='القوائم والإعدادات'!$E$3,"خلال 60 يوم",IF(S19&lt;='القوائم والإعدادات'!$E$2,"خلال 90 يوم",""))),"")</f>
        <v/>
      </c>
      <c r="U19" s="7">
        <f>IF(B19="","",COUNTIF(التمديدات!$A$2:$A$301,B19))</f>
        <v>0</v>
      </c>
      <c r="V19" s="10"/>
      <c r="W19" s="10"/>
      <c r="X19" s="7" t="str">
        <f t="shared" si="4"/>
        <v/>
      </c>
    </row>
    <row r="20" spans="1:24">
      <c r="A20" s="7">
        <v>19</v>
      </c>
      <c r="B20" s="10" t="s">
        <v>190</v>
      </c>
      <c r="C20" s="10" t="s">
        <v>145</v>
      </c>
      <c r="D20" s="10" t="s">
        <v>191</v>
      </c>
      <c r="E20" s="10" t="s">
        <v>42</v>
      </c>
      <c r="F20" s="10" t="s">
        <v>131</v>
      </c>
      <c r="G20" s="11">
        <v>46260</v>
      </c>
      <c r="H20" s="11">
        <v>46264</v>
      </c>
      <c r="I20" s="11">
        <v>46628</v>
      </c>
      <c r="J20" s="12">
        <f>IF(B20="","",MAX(I20,_xlfn.MAXIFS(التمديدات!$C$2:$C$301,التمديدات!$A$2:$A$301,B20)))</f>
        <v>46628</v>
      </c>
      <c r="K20" s="7">
        <f t="shared" si="0"/>
        <v>12</v>
      </c>
      <c r="L20" s="26"/>
      <c r="M20" s="27"/>
      <c r="N20" s="29" t="s">
        <v>210</v>
      </c>
      <c r="O20" s="10" t="s">
        <v>44</v>
      </c>
      <c r="P20" s="27"/>
      <c r="Q20" s="27"/>
      <c r="R20" s="7" t="str">
        <f ca="1">IF(B20="","",IF(Q20&lt;&gt;"",Q20,IF(H20&gt;TODAY(),"لم يبدأ بعد",IF(J20&lt;TODAY(),"منتهٍ",IF(J20-TODAY()&lt;='القوائم والإعدادات'!$E$2,"قريب الانتهاء","ساري")))))</f>
        <v>ساري</v>
      </c>
      <c r="S20" s="7">
        <f t="shared" ca="1" si="3"/>
        <v>320</v>
      </c>
      <c r="T20" s="7" t="str">
        <f ca="1">IF(OR(R20="ساري",R20="قريب الانتهاء"),IF(S20&lt;='القوائم والإعدادات'!$E$4,"عاجل",IF(S20&lt;='القوائم والإعدادات'!$E$3,"خلال 60 يوم",IF(S20&lt;='القوائم والإعدادات'!$E$2,"خلال 90 يوم",""))),"")</f>
        <v/>
      </c>
      <c r="U20" s="7">
        <f>IF(B20="","",COUNTIF(التمديدات!$A$2:$A$301,B20))</f>
        <v>0</v>
      </c>
      <c r="V20" s="10"/>
      <c r="W20" s="10"/>
      <c r="X20" s="7" t="str">
        <f t="shared" si="4"/>
        <v/>
      </c>
    </row>
    <row r="21" spans="1:24">
      <c r="A21" s="7">
        <v>20</v>
      </c>
      <c r="B21" s="10" t="s">
        <v>192</v>
      </c>
      <c r="C21" s="10" t="s">
        <v>145</v>
      </c>
      <c r="D21" s="10" t="s">
        <v>193</v>
      </c>
      <c r="E21" s="10" t="s">
        <v>42</v>
      </c>
      <c r="F21" s="10" t="s">
        <v>131</v>
      </c>
      <c r="G21" s="11">
        <v>46260</v>
      </c>
      <c r="H21" s="11">
        <v>46264</v>
      </c>
      <c r="I21" s="11">
        <v>46628</v>
      </c>
      <c r="J21" s="12">
        <f>IF(B21="","",MAX(I21,_xlfn.MAXIFS(التمديدات!$C$2:$C$301,التمديدات!$A$2:$A$301,B21)))</f>
        <v>46628</v>
      </c>
      <c r="K21" s="7">
        <f t="shared" si="0"/>
        <v>12</v>
      </c>
      <c r="L21" s="26"/>
      <c r="M21" s="27"/>
      <c r="N21" s="29" t="s">
        <v>209</v>
      </c>
      <c r="O21" s="10" t="s">
        <v>44</v>
      </c>
      <c r="P21" s="27"/>
      <c r="Q21" s="27"/>
      <c r="R21" s="7" t="str">
        <f ca="1">IF(B21="","",IF(Q21&lt;&gt;"",Q21,IF(H21&gt;TODAY(),"لم يبدأ بعد",IF(J21&lt;TODAY(),"منتهٍ",IF(J21-TODAY()&lt;='القوائم والإعدادات'!$E$2,"قريب الانتهاء","ساري")))))</f>
        <v>ساري</v>
      </c>
      <c r="S21" s="7">
        <f t="shared" ca="1" si="3"/>
        <v>320</v>
      </c>
      <c r="T21" s="7" t="str">
        <f ca="1">IF(OR(R21="ساري",R21="قريب الانتهاء"),IF(S21&lt;='القوائم والإعدادات'!$E$4,"عاجل",IF(S21&lt;='القوائم والإعدادات'!$E$3,"خلال 60 يوم",IF(S21&lt;='القوائم والإعدادات'!$E$2,"خلال 90 يوم",""))),"")</f>
        <v/>
      </c>
      <c r="U21" s="7">
        <f>IF(B21="","",COUNTIF(التمديدات!$A$2:$A$301,B21))</f>
        <v>0</v>
      </c>
      <c r="V21" s="10"/>
      <c r="W21" s="10"/>
      <c r="X21" s="7" t="str">
        <f t="shared" si="4"/>
        <v/>
      </c>
    </row>
    <row r="22" spans="1:24">
      <c r="A22" s="7">
        <v>21</v>
      </c>
      <c r="B22" s="10" t="s">
        <v>194</v>
      </c>
      <c r="C22" s="10" t="s">
        <v>195</v>
      </c>
      <c r="D22" s="10" t="s">
        <v>196</v>
      </c>
      <c r="E22" s="10" t="s">
        <v>42</v>
      </c>
      <c r="F22" s="10" t="s">
        <v>131</v>
      </c>
      <c r="G22" s="11">
        <v>46254</v>
      </c>
      <c r="H22" s="11">
        <v>46258</v>
      </c>
      <c r="I22" s="11">
        <v>46622</v>
      </c>
      <c r="J22" s="12">
        <f>IF(B22="","",MAX(I22,_xlfn.MAXIFS(التمديدات!$C$2:$C$301,التمديدات!$A$2:$A$301,B22)))</f>
        <v>46622</v>
      </c>
      <c r="K22" s="7">
        <f t="shared" si="0"/>
        <v>12</v>
      </c>
      <c r="L22" s="26"/>
      <c r="M22" s="27"/>
      <c r="N22" s="29" t="s">
        <v>208</v>
      </c>
      <c r="O22" s="10" t="s">
        <v>44</v>
      </c>
      <c r="P22" s="27"/>
      <c r="Q22" s="27"/>
      <c r="R22" s="7" t="str">
        <f ca="1">IF(B22="","",IF(Q22&lt;&gt;"",Q22,IF(H22&gt;TODAY(),"لم يبدأ بعد",IF(J22&lt;TODAY(),"منتهٍ",IF(J22-TODAY()&lt;='القوائم والإعدادات'!$E$2,"قريب الانتهاء","ساري")))))</f>
        <v>ساري</v>
      </c>
      <c r="S22" s="7">
        <f t="shared" ca="1" si="3"/>
        <v>314</v>
      </c>
      <c r="T22" s="7" t="str">
        <f ca="1">IF(OR(R22="ساري",R22="قريب الانتهاء"),IF(S22&lt;='القوائم والإعدادات'!$E$4,"عاجل",IF(S22&lt;='القوائم والإعدادات'!$E$3,"خلال 60 يوم",IF(S22&lt;='القوائم والإعدادات'!$E$2,"خلال 90 يوم",""))),"")</f>
        <v/>
      </c>
      <c r="U22" s="7">
        <f>IF(B22="","",COUNTIF(التمديدات!$A$2:$A$301,B22))</f>
        <v>0</v>
      </c>
      <c r="V22" s="10"/>
      <c r="W22" s="10"/>
      <c r="X22" s="7" t="str">
        <f t="shared" si="4"/>
        <v/>
      </c>
    </row>
    <row r="23" spans="1:24">
      <c r="A23" s="7">
        <v>22</v>
      </c>
      <c r="B23" s="10" t="s">
        <v>197</v>
      </c>
      <c r="C23" s="10" t="s">
        <v>170</v>
      </c>
      <c r="D23" s="10" t="s">
        <v>198</v>
      </c>
      <c r="E23" s="10" t="s">
        <v>42</v>
      </c>
      <c r="F23" s="10" t="s">
        <v>131</v>
      </c>
      <c r="G23" s="11">
        <v>46266</v>
      </c>
      <c r="H23" s="11">
        <v>46268</v>
      </c>
      <c r="I23" s="11">
        <v>46632</v>
      </c>
      <c r="J23" s="12">
        <f>IF(B23="","",MAX(I23,_xlfn.MAXIFS(التمديدات!$C$2:$C$301,التمديدات!$A$2:$A$301,B23)))</f>
        <v>46632</v>
      </c>
      <c r="K23" s="7">
        <f t="shared" si="0"/>
        <v>12</v>
      </c>
      <c r="L23" s="26"/>
      <c r="M23" s="27"/>
      <c r="N23" s="29" t="s">
        <v>207</v>
      </c>
      <c r="O23" s="10" t="s">
        <v>44</v>
      </c>
      <c r="P23" s="27"/>
      <c r="Q23" s="27"/>
      <c r="R23" s="7" t="str">
        <f ca="1">IF(B23="","",IF(Q23&lt;&gt;"",Q23,IF(H23&gt;TODAY(),"لم يبدأ بعد",IF(J23&lt;TODAY(),"منتهٍ",IF(J23-TODAY()&lt;='القوائم والإعدادات'!$E$2,"قريب الانتهاء","ساري")))))</f>
        <v>ساري</v>
      </c>
      <c r="S23" s="7">
        <f t="shared" ca="1" si="3"/>
        <v>324</v>
      </c>
      <c r="T23" s="7" t="str">
        <f ca="1">IF(OR(R23="ساري",R23="قريب الانتهاء"),IF(S23&lt;='القوائم والإعدادات'!$E$4,"عاجل",IF(S23&lt;='القوائم والإعدادات'!$E$3,"خلال 60 يوم",IF(S23&lt;='القوائم والإعدادات'!$E$2,"خلال 90 يوم",""))),"")</f>
        <v/>
      </c>
      <c r="U23" s="7">
        <f>IF(B23="","",COUNTIF(التمديدات!$A$2:$A$301,B23))</f>
        <v>0</v>
      </c>
      <c r="V23" s="10"/>
      <c r="W23" s="10" t="s">
        <v>227</v>
      </c>
      <c r="X23" s="7" t="str">
        <f t="shared" si="4"/>
        <v/>
      </c>
    </row>
    <row r="24" spans="1:24">
      <c r="A24" s="7">
        <v>23</v>
      </c>
      <c r="B24" s="10" t="s">
        <v>199</v>
      </c>
      <c r="C24" s="10" t="s">
        <v>200</v>
      </c>
      <c r="D24" s="10" t="s">
        <v>201</v>
      </c>
      <c r="E24" s="10" t="s">
        <v>42</v>
      </c>
      <c r="F24" s="10" t="s">
        <v>131</v>
      </c>
      <c r="G24" s="11">
        <v>46267</v>
      </c>
      <c r="H24" s="11">
        <v>46268</v>
      </c>
      <c r="I24" s="11">
        <v>46632</v>
      </c>
      <c r="J24" s="12">
        <f>IF(B24="","",MAX(I24,_xlfn.MAXIFS(التمديدات!$C$2:$C$301,التمديدات!$A$2:$A$301,B24)))</f>
        <v>46632</v>
      </c>
      <c r="K24" s="7">
        <f t="shared" si="0"/>
        <v>12</v>
      </c>
      <c r="L24" s="26"/>
      <c r="M24" s="27"/>
      <c r="N24" s="29" t="s">
        <v>206</v>
      </c>
      <c r="O24" s="10" t="s">
        <v>44</v>
      </c>
      <c r="P24" s="27"/>
      <c r="Q24" s="27"/>
      <c r="R24" s="7" t="str">
        <f ca="1">IF(B24="","",IF(Q24&lt;&gt;"",Q24,IF(H24&gt;TODAY(),"لم يبدأ بعد",IF(J24&lt;TODAY(),"منتهٍ",IF(J24-TODAY()&lt;='القوائم والإعدادات'!$E$2,"قريب الانتهاء","ساري")))))</f>
        <v>ساري</v>
      </c>
      <c r="S24" s="7">
        <f t="shared" ca="1" si="3"/>
        <v>324</v>
      </c>
      <c r="T24" s="7" t="str">
        <f ca="1">IF(OR(R24="ساري",R24="قريب الانتهاء"),IF(S24&lt;='القوائم والإعدادات'!$E$4,"عاجل",IF(S24&lt;='القوائم والإعدادات'!$E$3,"خلال 60 يوم",IF(S24&lt;='القوائم والإعدادات'!$E$2,"خلال 90 يوم",""))),"")</f>
        <v/>
      </c>
      <c r="U24" s="7">
        <f>IF(B24="","",COUNTIF(التمديدات!$A$2:$A$301,B24))</f>
        <v>0</v>
      </c>
      <c r="V24" s="10"/>
      <c r="W24" s="10"/>
      <c r="X24" s="7" t="str">
        <f t="shared" si="4"/>
        <v/>
      </c>
    </row>
    <row r="25" spans="1:24">
      <c r="A25" s="7">
        <v>24</v>
      </c>
      <c r="B25" s="10" t="s">
        <v>202</v>
      </c>
      <c r="C25" s="10" t="s">
        <v>203</v>
      </c>
      <c r="D25" s="10" t="s">
        <v>204</v>
      </c>
      <c r="E25" s="10" t="s">
        <v>42</v>
      </c>
      <c r="F25" s="10" t="s">
        <v>131</v>
      </c>
      <c r="G25" s="11">
        <v>46260</v>
      </c>
      <c r="H25" s="11">
        <v>46264</v>
      </c>
      <c r="I25" s="11">
        <v>46628</v>
      </c>
      <c r="J25" s="12">
        <f>IF(B25="","",MAX(I25,_xlfn.MAXIFS(التمديدات!$C$2:$C$301,التمديدات!$A$2:$A$301,B25)))</f>
        <v>46628</v>
      </c>
      <c r="K25" s="7">
        <f t="shared" si="0"/>
        <v>12</v>
      </c>
      <c r="L25" s="26"/>
      <c r="M25" s="27"/>
      <c r="N25" s="29" t="s">
        <v>205</v>
      </c>
      <c r="O25" s="10" t="s">
        <v>44</v>
      </c>
      <c r="P25" s="27"/>
      <c r="Q25" s="27"/>
      <c r="R25" s="7" t="str">
        <f ca="1">IF(B25="","",IF(Q25&lt;&gt;"",Q25,IF(H25&gt;TODAY(),"لم يبدأ بعد",IF(J25&lt;TODAY(),"منتهٍ",IF(J25-TODAY()&lt;='القوائم والإعدادات'!$E$2,"قريب الانتهاء","ساري")))))</f>
        <v>ساري</v>
      </c>
      <c r="S25" s="7">
        <f t="shared" ca="1" si="3"/>
        <v>320</v>
      </c>
      <c r="T25" s="7" t="str">
        <f ca="1">IF(OR(R25="ساري",R25="قريب الانتهاء"),IF(S25&lt;='القوائم والإعدادات'!$E$4,"عاجل",IF(S25&lt;='القوائم والإعدادات'!$E$3,"خلال 60 يوم",IF(S25&lt;='القوائم والإعدادات'!$E$2,"خلال 90 يوم",""))),"")</f>
        <v/>
      </c>
      <c r="U25" s="7">
        <f>IF(B25="","",COUNTIF(التمديدات!$A$2:$A$301,B25))</f>
        <v>0</v>
      </c>
      <c r="V25" s="10"/>
      <c r="W25" s="10"/>
      <c r="X25" s="7" t="str">
        <f t="shared" si="4"/>
        <v/>
      </c>
    </row>
    <row r="26" spans="1:24">
      <c r="A26" s="7">
        <v>25</v>
      </c>
      <c r="B26" s="10" t="s">
        <v>228</v>
      </c>
      <c r="C26" s="10" t="s">
        <v>170</v>
      </c>
      <c r="D26" s="10" t="s">
        <v>229</v>
      </c>
      <c r="E26" s="10" t="s">
        <v>42</v>
      </c>
      <c r="F26" s="10" t="s">
        <v>131</v>
      </c>
      <c r="G26" s="11">
        <v>46258</v>
      </c>
      <c r="H26" s="11">
        <v>46264</v>
      </c>
      <c r="I26" s="11">
        <v>46628</v>
      </c>
      <c r="J26" s="12">
        <f>IF(B26="","",MAX(I26,_xlfn.MAXIFS(التمديدات!$C$2:$C$301,التمديدات!$A$2:$A$301,B26)))</f>
        <v>46628</v>
      </c>
      <c r="K26" s="7">
        <f t="shared" si="0"/>
        <v>12</v>
      </c>
      <c r="L26" s="26"/>
      <c r="M26" s="27"/>
      <c r="N26" s="29" t="s">
        <v>230</v>
      </c>
      <c r="O26" s="10" t="s">
        <v>44</v>
      </c>
      <c r="P26" s="27"/>
      <c r="Q26" s="27"/>
      <c r="R26" s="7" t="str">
        <f ca="1">IF(B26="","",IF(Q26&lt;&gt;"",Q26,IF(H26&gt;TODAY(),"لم يبدأ بعد",IF(J26&lt;TODAY(),"منتهٍ",IF(J26-TODAY()&lt;='القوائم والإعدادات'!$E$2,"قريب الانتهاء","ساري")))))</f>
        <v>ساري</v>
      </c>
      <c r="S26" s="7">
        <f t="shared" ca="1" si="3"/>
        <v>320</v>
      </c>
      <c r="T26" s="7" t="str">
        <f ca="1">IF(OR(R26="ساري",R26="قريب الانتهاء"),IF(S26&lt;='القوائم والإعدادات'!$E$4,"عاجل",IF(S26&lt;='القوائم والإعدادات'!$E$3,"خلال 60 يوم",IF(S26&lt;='القوائم والإعدادات'!$E$2,"خلال 90 يوم",""))),"")</f>
        <v/>
      </c>
      <c r="U26" s="7">
        <f>IF(B26="","",COUNTIF(التمديدات!$A$2:$A$301,B26))</f>
        <v>0</v>
      </c>
      <c r="V26" s="10"/>
      <c r="W26" s="10"/>
      <c r="X26" s="7" t="str">
        <f t="shared" si="4"/>
        <v/>
      </c>
    </row>
    <row r="27" spans="1:24">
      <c r="A27" s="7">
        <v>26</v>
      </c>
      <c r="B27" s="10" t="s">
        <v>231</v>
      </c>
      <c r="C27" s="10" t="s">
        <v>185</v>
      </c>
      <c r="D27" s="10" t="s">
        <v>232</v>
      </c>
      <c r="E27" s="10" t="s">
        <v>42</v>
      </c>
      <c r="F27" s="10" t="s">
        <v>131</v>
      </c>
      <c r="G27" s="11">
        <v>46247</v>
      </c>
      <c r="H27" s="11">
        <v>46252</v>
      </c>
      <c r="I27" s="11">
        <v>46616</v>
      </c>
      <c r="J27" s="12">
        <f>IF(B27="","",MAX(I27,_xlfn.MAXIFS(التمديدات!$C$2:$C$301,التمديدات!$A$2:$A$301,B27)))</f>
        <v>46616</v>
      </c>
      <c r="K27" s="7">
        <f t="shared" si="0"/>
        <v>12</v>
      </c>
      <c r="L27" s="26"/>
      <c r="M27" s="27"/>
      <c r="N27" s="29" t="s">
        <v>233</v>
      </c>
      <c r="O27" s="10"/>
      <c r="P27" s="27"/>
      <c r="Q27" s="27"/>
      <c r="R27" s="7" t="str">
        <f ca="1">IF(B27="","",IF(Q27&lt;&gt;"",Q27,IF(H27&gt;TODAY(),"لم يبدأ بعد",IF(J27&lt;TODAY(),"منتهٍ",IF(J27-TODAY()&lt;='القوائم والإعدادات'!$E$2,"قريب الانتهاء","ساري")))))</f>
        <v>ساري</v>
      </c>
      <c r="S27" s="7">
        <f t="shared" ca="1" si="3"/>
        <v>308</v>
      </c>
      <c r="T27" s="7" t="str">
        <f ca="1">IF(OR(R27="ساري",R27="قريب الانتهاء"),IF(S27&lt;='القوائم والإعدادات'!$E$4,"عاجل",IF(S27&lt;='القوائم والإعدادات'!$E$3,"خلال 60 يوم",IF(S27&lt;='القوائم والإعدادات'!$E$2,"خلال 90 يوم",""))),"")</f>
        <v/>
      </c>
      <c r="U27" s="7">
        <f>IF(B27="","",COUNTIF(التمديدات!$A$2:$A$301,B27))</f>
        <v>0</v>
      </c>
      <c r="V27" s="10"/>
      <c r="W27" s="10"/>
      <c r="X27" s="7" t="str">
        <f t="shared" si="4"/>
        <v/>
      </c>
    </row>
    <row r="28" spans="1:24">
      <c r="A28" s="7">
        <v>27</v>
      </c>
      <c r="B28" s="10" t="s">
        <v>237</v>
      </c>
      <c r="C28" s="10" t="s">
        <v>236</v>
      </c>
      <c r="D28" s="10" t="s">
        <v>235</v>
      </c>
      <c r="E28" s="10" t="s">
        <v>42</v>
      </c>
      <c r="F28" s="10" t="s">
        <v>131</v>
      </c>
      <c r="G28" s="11">
        <v>46264</v>
      </c>
      <c r="H28" s="11">
        <v>46266</v>
      </c>
      <c r="I28" s="11">
        <v>46630</v>
      </c>
      <c r="J28" s="12">
        <f>IF(B28="","",MAX(I28,_xlfn.MAXIFS(التمديدات!$C$2:$C$301,التمديدات!$A$2:$A$301,B28)))</f>
        <v>46630</v>
      </c>
      <c r="K28" s="7">
        <f t="shared" si="0"/>
        <v>12</v>
      </c>
      <c r="L28" s="26"/>
      <c r="M28" s="27"/>
      <c r="N28" s="29" t="s">
        <v>234</v>
      </c>
      <c r="O28" s="10"/>
      <c r="P28" s="10"/>
      <c r="Q28" s="27"/>
      <c r="R28" s="7" t="str">
        <f ca="1">IF(B28="","",IF(Q28&lt;&gt;"",Q28,IF(H28&gt;TODAY(),"لم يبدأ بعد",IF(J28&lt;TODAY(),"منتهٍ",IF(J28-TODAY()&lt;='القوائم والإعدادات'!$E$2,"قريب الانتهاء","ساري")))))</f>
        <v>ساري</v>
      </c>
      <c r="S28" s="7">
        <f t="shared" ca="1" si="3"/>
        <v>322</v>
      </c>
      <c r="T28" s="7" t="str">
        <f ca="1">IF(OR(R28="ساري",R28="قريب الانتهاء"),IF(S28&lt;='القوائم والإعدادات'!$E$4,"عاجل",IF(S28&lt;='القوائم والإعدادات'!$E$3,"خلال 60 يوم",IF(S28&lt;='القوائم والإعدادات'!$E$2,"خلال 90 يوم",""))),"")</f>
        <v/>
      </c>
      <c r="U28" s="7">
        <f>IF(B28="","",COUNTIF(التمديدات!$A$2:$A$301,B28))</f>
        <v>0</v>
      </c>
      <c r="V28" s="10"/>
      <c r="W28" s="10"/>
      <c r="X28" s="7" t="str">
        <f t="shared" si="4"/>
        <v/>
      </c>
    </row>
    <row r="29" spans="1:24">
      <c r="A29" s="7">
        <v>28</v>
      </c>
      <c r="B29" s="10" t="s">
        <v>238</v>
      </c>
      <c r="C29" s="10" t="s">
        <v>145</v>
      </c>
      <c r="D29" s="10" t="s">
        <v>239</v>
      </c>
      <c r="E29" s="10" t="s">
        <v>42</v>
      </c>
      <c r="F29" s="10" t="s">
        <v>131</v>
      </c>
      <c r="G29" s="11">
        <v>46251</v>
      </c>
      <c r="H29" s="11">
        <v>46253</v>
      </c>
      <c r="I29" s="11">
        <v>46617</v>
      </c>
      <c r="J29" s="12">
        <f>IF(B29="","",MAX(I29,_xlfn.MAXIFS(التمديدات!$C$2:$C$301,التمديدات!$A$2:$A$301,B29)))</f>
        <v>46617</v>
      </c>
      <c r="K29" s="7">
        <f t="shared" si="0"/>
        <v>12</v>
      </c>
      <c r="L29" s="26"/>
      <c r="M29" s="27"/>
      <c r="N29" s="29" t="s">
        <v>240</v>
      </c>
      <c r="O29" s="10"/>
      <c r="P29" s="10"/>
      <c r="Q29" s="27"/>
      <c r="R29" s="7" t="str">
        <f ca="1">IF(B29="","",IF(Q29&lt;&gt;"",Q29,IF(H29&gt;TODAY(),"لم يبدأ بعد",IF(J29&lt;TODAY(),"منتهٍ",IF(J29-TODAY()&lt;='القوائم والإعدادات'!$E$2,"قريب الانتهاء","ساري")))))</f>
        <v>ساري</v>
      </c>
      <c r="S29" s="7">
        <f t="shared" ca="1" si="3"/>
        <v>309</v>
      </c>
      <c r="T29" s="7" t="str">
        <f ca="1">IF(OR(R29="ساري",R29="قريب الانتهاء"),IF(S29&lt;='القوائم والإعدادات'!$E$4,"عاجل",IF(S29&lt;='القوائم والإعدادات'!$E$3,"خلال 60 يوم",IF(S29&lt;='القوائم والإعدادات'!$E$2,"خلال 90 يوم",""))),"")</f>
        <v/>
      </c>
      <c r="U29" s="7">
        <f>IF(B29="","",COUNTIF(التمديدات!$A$2:$A$301,B29))</f>
        <v>0</v>
      </c>
      <c r="V29" s="10"/>
      <c r="W29" s="10"/>
      <c r="X29" s="7" t="str">
        <f t="shared" si="4"/>
        <v/>
      </c>
    </row>
    <row r="30" spans="1:24">
      <c r="A30" s="7">
        <v>29</v>
      </c>
      <c r="B30" s="10" t="s">
        <v>241</v>
      </c>
      <c r="C30" s="10" t="s">
        <v>170</v>
      </c>
      <c r="D30" s="10" t="s">
        <v>242</v>
      </c>
      <c r="E30" s="10" t="s">
        <v>42</v>
      </c>
      <c r="F30" s="10" t="s">
        <v>131</v>
      </c>
      <c r="G30" s="11">
        <v>46264</v>
      </c>
      <c r="H30" s="11">
        <v>46267</v>
      </c>
      <c r="I30" s="11">
        <v>46631</v>
      </c>
      <c r="J30" s="12">
        <f>IF(B30="","",MAX(I30,_xlfn.MAXIFS(التمديدات!$C$2:$C$301,التمديدات!$A$2:$A$301,B30)))</f>
        <v>46631</v>
      </c>
      <c r="K30" s="7">
        <f t="shared" si="0"/>
        <v>12</v>
      </c>
      <c r="L30" s="26"/>
      <c r="M30" s="27"/>
      <c r="N30" s="29" t="s">
        <v>243</v>
      </c>
      <c r="O30" s="10"/>
      <c r="P30" s="10"/>
      <c r="Q30" s="27"/>
      <c r="R30" s="7" t="str">
        <f ca="1">IF(B30="","",IF(Q30&lt;&gt;"",Q30,IF(H30&gt;TODAY(),"لم يبدأ بعد",IF(J30&lt;TODAY(),"منتهٍ",IF(J30-TODAY()&lt;='القوائم والإعدادات'!$E$2,"قريب الانتهاء","ساري")))))</f>
        <v>ساري</v>
      </c>
      <c r="S30" s="7">
        <f t="shared" ca="1" si="3"/>
        <v>323</v>
      </c>
      <c r="T30" s="7" t="str">
        <f ca="1">IF(OR(R30="ساري",R30="قريب الانتهاء"),IF(S30&lt;='القوائم والإعدادات'!$E$4,"عاجل",IF(S30&lt;='القوائم والإعدادات'!$E$3,"خلال 60 يوم",IF(S30&lt;='القوائم والإعدادات'!$E$2,"خلال 90 يوم",""))),"")</f>
        <v/>
      </c>
      <c r="U30" s="7">
        <f>IF(B30="","",COUNTIF(التمديدات!$A$2:$A$301,B30))</f>
        <v>0</v>
      </c>
      <c r="V30" s="10"/>
      <c r="W30" s="10"/>
      <c r="X30" s="7" t="str">
        <f t="shared" si="4"/>
        <v/>
      </c>
    </row>
    <row r="31" spans="1:24">
      <c r="A31" s="7">
        <v>30</v>
      </c>
      <c r="B31" s="10" t="s">
        <v>245</v>
      </c>
      <c r="C31" s="10" t="s">
        <v>135</v>
      </c>
      <c r="D31" s="10" t="s">
        <v>248</v>
      </c>
      <c r="E31" s="10" t="s">
        <v>42</v>
      </c>
      <c r="F31" s="10" t="s">
        <v>131</v>
      </c>
      <c r="G31" s="11">
        <v>46252</v>
      </c>
      <c r="H31" s="11">
        <v>46254</v>
      </c>
      <c r="I31" s="11">
        <v>46618</v>
      </c>
      <c r="J31" s="12">
        <f>IF(B31="","",MAX(I31,_xlfn.MAXIFS(التمديدات!$C$2:$C$301,التمديدات!$A$2:$A$301,B31)))</f>
        <v>46618</v>
      </c>
      <c r="K31" s="7">
        <f t="shared" si="0"/>
        <v>12</v>
      </c>
      <c r="L31" s="26"/>
      <c r="M31" s="27"/>
      <c r="N31" s="29" t="s">
        <v>244</v>
      </c>
      <c r="O31" s="10"/>
      <c r="P31" s="10"/>
      <c r="Q31" s="10"/>
      <c r="R31" s="7" t="str">
        <f ca="1">IF(B31="","",IF(Q31&lt;&gt;"",Q31,IF(H31&gt;TODAY(),"لم يبدأ بعد",IF(J31&lt;TODAY(),"منتهٍ",IF(J31-TODAY()&lt;='القوائم والإعدادات'!$E$2,"قريب الانتهاء","ساري")))))</f>
        <v>ساري</v>
      </c>
      <c r="S31" s="7">
        <f t="shared" ca="1" si="3"/>
        <v>310</v>
      </c>
      <c r="T31" s="7" t="str">
        <f ca="1">IF(OR(R31="ساري",R31="قريب الانتهاء"),IF(S31&lt;='القوائم والإعدادات'!$E$4,"عاجل",IF(S31&lt;='القوائم والإعدادات'!$E$3,"خلال 60 يوم",IF(S31&lt;='القوائم والإعدادات'!$E$2,"خلال 90 يوم",""))),"")</f>
        <v/>
      </c>
      <c r="U31" s="7">
        <f>IF(B31="","",COUNTIF(التمديدات!$A$2:$A$301,B31))</f>
        <v>0</v>
      </c>
      <c r="V31" s="10"/>
      <c r="W31" s="10"/>
      <c r="X31" s="7" t="str">
        <f t="shared" si="4"/>
        <v/>
      </c>
    </row>
    <row r="32" spans="1:24">
      <c r="A32" s="7">
        <v>31</v>
      </c>
      <c r="B32" s="10" t="s">
        <v>246</v>
      </c>
      <c r="C32" s="10" t="s">
        <v>135</v>
      </c>
      <c r="D32" s="10" t="s">
        <v>247</v>
      </c>
      <c r="E32" s="10" t="s">
        <v>42</v>
      </c>
      <c r="F32" s="10" t="s">
        <v>131</v>
      </c>
      <c r="G32" s="11">
        <v>46252</v>
      </c>
      <c r="H32" s="11">
        <v>46253</v>
      </c>
      <c r="I32" s="11">
        <v>46617</v>
      </c>
      <c r="J32" s="12">
        <f>IF(B32="","",MAX(I32,_xlfn.MAXIFS(التمديدات!$C$2:$C$301,التمديدات!$A$2:$A$301,B32)))</f>
        <v>46617</v>
      </c>
      <c r="K32" s="7">
        <f t="shared" si="0"/>
        <v>12</v>
      </c>
      <c r="L32" s="26"/>
      <c r="M32" s="27"/>
      <c r="N32" s="29" t="s">
        <v>252</v>
      </c>
      <c r="O32" s="10"/>
      <c r="P32" s="10"/>
      <c r="Q32" s="10"/>
      <c r="R32" s="7" t="str">
        <f ca="1">IF(B32="","",IF(Q32&lt;&gt;"",Q32,IF(H32&gt;TODAY(),"لم يبدأ بعد",IF(J32&lt;TODAY(),"منتهٍ",IF(J32-TODAY()&lt;='القوائم والإعدادات'!$E$2,"قريب الانتهاء","ساري")))))</f>
        <v>ساري</v>
      </c>
      <c r="S32" s="7">
        <f t="shared" ca="1" si="3"/>
        <v>309</v>
      </c>
      <c r="T32" s="7" t="str">
        <f ca="1">IF(OR(R32="ساري",R32="قريب الانتهاء"),IF(S32&lt;='القوائم والإعدادات'!$E$4,"عاجل",IF(S32&lt;='القوائم والإعدادات'!$E$3,"خلال 60 يوم",IF(S32&lt;='القوائم والإعدادات'!$E$2,"خلال 90 يوم",""))),"")</f>
        <v/>
      </c>
      <c r="U32" s="7">
        <f>IF(B32="","",COUNTIF(التمديدات!$A$2:$A$301,B32))</f>
        <v>0</v>
      </c>
      <c r="V32" s="10"/>
      <c r="W32" s="10"/>
      <c r="X32" s="7" t="str">
        <f t="shared" si="4"/>
        <v/>
      </c>
    </row>
    <row r="33" spans="1:24">
      <c r="A33" s="7">
        <v>32</v>
      </c>
      <c r="B33" s="10" t="s">
        <v>249</v>
      </c>
      <c r="C33" s="10" t="s">
        <v>145</v>
      </c>
      <c r="D33" s="10" t="s">
        <v>250</v>
      </c>
      <c r="E33" s="10" t="s">
        <v>42</v>
      </c>
      <c r="F33" s="10" t="s">
        <v>131</v>
      </c>
      <c r="G33" s="11">
        <v>46267</v>
      </c>
      <c r="H33" s="11">
        <v>46268</v>
      </c>
      <c r="I33" s="11">
        <v>46632</v>
      </c>
      <c r="J33" s="12">
        <f>IF(B33="","",MAX(I33,_xlfn.MAXIFS(التمديدات!$C$2:$C$301,التمديدات!$A$2:$A$301,B33)))</f>
        <v>46632</v>
      </c>
      <c r="K33" s="7">
        <f t="shared" si="0"/>
        <v>12</v>
      </c>
      <c r="L33" s="26"/>
      <c r="M33" s="27"/>
      <c r="N33" s="29" t="s">
        <v>251</v>
      </c>
      <c r="O33" s="10"/>
      <c r="P33" s="10"/>
      <c r="Q33" s="10"/>
      <c r="R33" s="7" t="str">
        <f ca="1">IF(B33="","",IF(Q33&lt;&gt;"",Q33,IF(H33&gt;TODAY(),"لم يبدأ بعد",IF(J33&lt;TODAY(),"منتهٍ",IF(J33-TODAY()&lt;='القوائم والإعدادات'!$E$2,"قريب الانتهاء","ساري")))))</f>
        <v>ساري</v>
      </c>
      <c r="S33" s="7">
        <f t="shared" ca="1" si="3"/>
        <v>324</v>
      </c>
      <c r="T33" s="7" t="str">
        <f ca="1">IF(OR(R33="ساري",R33="قريب الانتهاء"),IF(S33&lt;='القوائم والإعدادات'!$E$4,"عاجل",IF(S33&lt;='القوائم والإعدادات'!$E$3,"خلال 60 يوم",IF(S33&lt;='القوائم والإعدادات'!$E$2,"خلال 90 يوم",""))),"")</f>
        <v/>
      </c>
      <c r="U33" s="7">
        <f>IF(B33="","",COUNTIF(التمديدات!$A$2:$A$301,B33))</f>
        <v>0</v>
      </c>
      <c r="V33" s="10"/>
      <c r="W33" s="10"/>
      <c r="X33" s="7" t="str">
        <f t="shared" si="4"/>
        <v/>
      </c>
    </row>
    <row r="34" spans="1:24">
      <c r="A34" s="7">
        <v>33</v>
      </c>
      <c r="B34" s="10" t="s">
        <v>253</v>
      </c>
      <c r="C34" s="10" t="s">
        <v>145</v>
      </c>
      <c r="D34" s="10" t="s">
        <v>254</v>
      </c>
      <c r="E34" s="10" t="s">
        <v>42</v>
      </c>
      <c r="F34" s="10" t="s">
        <v>131</v>
      </c>
      <c r="G34" s="11">
        <v>46261</v>
      </c>
      <c r="H34" s="11">
        <v>46266</v>
      </c>
      <c r="I34" s="11">
        <v>46630</v>
      </c>
      <c r="J34" s="12">
        <f>IF(B34="","",MAX(I34,_xlfn.MAXIFS(التمديدات!$C$2:$C$301,التمديدات!$A$2:$A$301,B34)))</f>
        <v>46630</v>
      </c>
      <c r="K34" s="7">
        <f t="shared" si="0"/>
        <v>12</v>
      </c>
      <c r="L34" s="26"/>
      <c r="M34" s="27"/>
      <c r="N34" s="29" t="s">
        <v>255</v>
      </c>
      <c r="O34" s="10"/>
      <c r="P34" s="10"/>
      <c r="Q34" s="10"/>
      <c r="R34" s="7" t="str">
        <f ca="1">IF(B34="","",IF(Q34&lt;&gt;"",Q34,IF(H34&gt;TODAY(),"لم يبدأ بعد",IF(J34&lt;TODAY(),"منتهٍ",IF(J34-TODAY()&lt;='القوائم والإعدادات'!$E$2,"قريب الانتهاء","ساري")))))</f>
        <v>ساري</v>
      </c>
      <c r="S34" s="7">
        <f t="shared" ca="1" si="3"/>
        <v>322</v>
      </c>
      <c r="T34" s="7" t="str">
        <f ca="1">IF(OR(R34="ساري",R34="قريب الانتهاء"),IF(S34&lt;='القوائم والإعدادات'!$E$4,"عاجل",IF(S34&lt;='القوائم والإعدادات'!$E$3,"خلال 60 يوم",IF(S34&lt;='القوائم والإعدادات'!$E$2,"خلال 90 يوم",""))),"")</f>
        <v/>
      </c>
      <c r="U34" s="7">
        <f>IF(B34="","",COUNTIF(التمديدات!$A$2:$A$301,B34))</f>
        <v>0</v>
      </c>
      <c r="V34" s="10"/>
      <c r="W34" s="10"/>
      <c r="X34" s="7" t="str">
        <f t="shared" si="4"/>
        <v/>
      </c>
    </row>
    <row r="35" spans="1:24">
      <c r="A35" s="7">
        <v>34</v>
      </c>
      <c r="B35" s="10" t="s">
        <v>256</v>
      </c>
      <c r="C35" s="10" t="s">
        <v>145</v>
      </c>
      <c r="D35" s="10" t="s">
        <v>257</v>
      </c>
      <c r="E35" s="10" t="s">
        <v>42</v>
      </c>
      <c r="F35" s="10" t="s">
        <v>131</v>
      </c>
      <c r="G35" s="11">
        <v>46250</v>
      </c>
      <c r="H35" s="11">
        <v>46253</v>
      </c>
      <c r="I35" s="11">
        <v>46617</v>
      </c>
      <c r="J35" s="12">
        <f>IF(B35="","",MAX(I35,_xlfn.MAXIFS(التمديدات!$C$2:$C$301,التمديدات!$A$2:$A$301,B35)))</f>
        <v>46617</v>
      </c>
      <c r="K35" s="7">
        <f t="shared" si="0"/>
        <v>12</v>
      </c>
      <c r="L35" s="26"/>
      <c r="M35" s="27"/>
      <c r="N35" s="29" t="s">
        <v>258</v>
      </c>
      <c r="O35" s="10"/>
      <c r="P35" s="10"/>
      <c r="Q35" s="10"/>
      <c r="R35" s="7" t="str">
        <f ca="1">IF(B35="","",IF(Q35&lt;&gt;"",Q35,IF(H35&gt;TODAY(),"لم يبدأ بعد",IF(J35&lt;TODAY(),"منتهٍ",IF(J35-TODAY()&lt;='القوائم والإعدادات'!$E$2,"قريب الانتهاء","ساري")))))</f>
        <v>ساري</v>
      </c>
      <c r="S35" s="7">
        <f t="shared" ca="1" si="3"/>
        <v>309</v>
      </c>
      <c r="T35" s="7" t="str">
        <f ca="1">IF(OR(R35="ساري",R35="قريب الانتهاء"),IF(S35&lt;='القوائم والإعدادات'!$E$4,"عاجل",IF(S35&lt;='القوائم والإعدادات'!$E$3,"خلال 60 يوم",IF(S35&lt;='القوائم والإعدادات'!$E$2,"خلال 90 يوم",""))),"")</f>
        <v/>
      </c>
      <c r="U35" s="7">
        <f>IF(B35="","",COUNTIF(التمديدات!$A$2:$A$301,B35))</f>
        <v>0</v>
      </c>
      <c r="V35" s="10"/>
      <c r="W35" s="10"/>
      <c r="X35" s="7" t="str">
        <f t="shared" si="4"/>
        <v/>
      </c>
    </row>
    <row r="36" spans="1:24">
      <c r="A36" s="7">
        <v>35</v>
      </c>
      <c r="B36" s="10" t="s">
        <v>259</v>
      </c>
      <c r="C36" s="10" t="s">
        <v>135</v>
      </c>
      <c r="D36" s="10" t="s">
        <v>260</v>
      </c>
      <c r="E36" s="10" t="s">
        <v>42</v>
      </c>
      <c r="F36" s="10" t="s">
        <v>131</v>
      </c>
      <c r="G36" s="11">
        <v>46260</v>
      </c>
      <c r="H36" s="11">
        <v>46266</v>
      </c>
      <c r="I36" s="11">
        <v>46630</v>
      </c>
      <c r="J36" s="12">
        <f>IF(B36="","",MAX(I36,_xlfn.MAXIFS(التمديدات!$C$2:$C$301,التمديدات!$A$2:$A$301,B36)))</f>
        <v>46630</v>
      </c>
      <c r="K36" s="7">
        <f t="shared" si="0"/>
        <v>12</v>
      </c>
      <c r="L36" s="26"/>
      <c r="M36" s="27"/>
      <c r="N36" s="10" t="s">
        <v>261</v>
      </c>
      <c r="O36" s="10"/>
      <c r="P36" s="10"/>
      <c r="Q36" s="10"/>
      <c r="R36" s="7" t="str">
        <f ca="1">IF(B36="","",IF(Q36&lt;&gt;"",Q36,IF(H36&gt;TODAY(),"لم يبدأ بعد",IF(J36&lt;TODAY(),"منتهٍ",IF(J36-TODAY()&lt;='القوائم والإعدادات'!$E$2,"قريب الانتهاء","ساري")))))</f>
        <v>ساري</v>
      </c>
      <c r="S36" s="7">
        <f t="shared" ca="1" si="3"/>
        <v>322</v>
      </c>
      <c r="T36" s="7" t="str">
        <f ca="1">IF(OR(R36="ساري",R36="قريب الانتهاء"),IF(S36&lt;='القوائم والإعدادات'!$E$4,"عاجل",IF(S36&lt;='القوائم والإعدادات'!$E$3,"خلال 60 يوم",IF(S36&lt;='القوائم والإعدادات'!$E$2,"خلال 90 يوم",""))),"")</f>
        <v/>
      </c>
      <c r="U36" s="7">
        <f>IF(B36="","",COUNTIF(التمديدات!$A$2:$A$301,B36))</f>
        <v>0</v>
      </c>
      <c r="V36" s="10"/>
      <c r="W36" s="10"/>
      <c r="X36" s="7" t="str">
        <f t="shared" si="4"/>
        <v/>
      </c>
    </row>
    <row r="37" spans="1:24">
      <c r="A37" s="7">
        <v>36</v>
      </c>
      <c r="B37" s="10" t="s">
        <v>262</v>
      </c>
      <c r="C37" s="10" t="s">
        <v>145</v>
      </c>
      <c r="D37" s="10" t="s">
        <v>263</v>
      </c>
      <c r="E37" s="10" t="s">
        <v>42</v>
      </c>
      <c r="F37" s="10" t="s">
        <v>131</v>
      </c>
      <c r="G37" s="11">
        <v>46251</v>
      </c>
      <c r="H37" s="11">
        <v>46253</v>
      </c>
      <c r="I37" s="11">
        <v>46617</v>
      </c>
      <c r="J37" s="12">
        <f>IF(B37="","",MAX(I37,_xlfn.MAXIFS(التمديدات!$C$2:$C$301,التمديدات!$A$2:$A$301,B37)))</f>
        <v>46617</v>
      </c>
      <c r="K37" s="7">
        <f t="shared" si="0"/>
        <v>12</v>
      </c>
      <c r="L37" s="26"/>
      <c r="M37" s="27"/>
      <c r="N37" s="10" t="s">
        <v>264</v>
      </c>
      <c r="O37" s="10"/>
      <c r="P37" s="10"/>
      <c r="Q37" s="10"/>
      <c r="R37" s="7" t="str">
        <f ca="1">IF(B37="","",IF(Q37&lt;&gt;"",Q37,IF(H37&gt;TODAY(),"لم يبدأ بعد",IF(J37&lt;TODAY(),"منتهٍ",IF(J37-TODAY()&lt;='القوائم والإعدادات'!$E$2,"قريب الانتهاء","ساري")))))</f>
        <v>ساري</v>
      </c>
      <c r="S37" s="7">
        <f t="shared" ca="1" si="3"/>
        <v>309</v>
      </c>
      <c r="T37" s="7" t="str">
        <f ca="1">IF(OR(R37="ساري",R37="قريب الانتهاء"),IF(S37&lt;='القوائم والإعدادات'!$E$4,"عاجل",IF(S37&lt;='القوائم والإعدادات'!$E$3,"خلال 60 يوم",IF(S37&lt;='القوائم والإعدادات'!$E$2,"خلال 90 يوم",""))),"")</f>
        <v/>
      </c>
      <c r="U37" s="7">
        <f>IF(B37="","",COUNTIF(التمديدات!$A$2:$A$301,B37))</f>
        <v>0</v>
      </c>
      <c r="V37" s="10"/>
      <c r="W37" s="10"/>
      <c r="X37" s="7" t="str">
        <f t="shared" si="4"/>
        <v/>
      </c>
    </row>
    <row r="38" spans="1:24">
      <c r="A38" s="7">
        <v>37</v>
      </c>
      <c r="B38" s="10" t="s">
        <v>265</v>
      </c>
      <c r="C38" s="10" t="s">
        <v>266</v>
      </c>
      <c r="D38" s="10" t="s">
        <v>267</v>
      </c>
      <c r="E38" s="10" t="s">
        <v>42</v>
      </c>
      <c r="F38" s="10" t="s">
        <v>131</v>
      </c>
      <c r="G38" s="11">
        <v>46237</v>
      </c>
      <c r="H38" s="11">
        <v>46239</v>
      </c>
      <c r="I38" s="11">
        <v>46603</v>
      </c>
      <c r="J38" s="12">
        <f>IF(B38="","",MAX(I38,_xlfn.MAXIFS(التمديدات!$C$2:$C$301,التمديدات!$A$2:$A$301,B38)))</f>
        <v>46603</v>
      </c>
      <c r="K38" s="7">
        <f t="shared" si="0"/>
        <v>12</v>
      </c>
      <c r="L38" s="26"/>
      <c r="M38" s="27"/>
      <c r="N38" s="10"/>
      <c r="O38" s="10"/>
      <c r="P38" s="10"/>
      <c r="Q38" s="10"/>
      <c r="R38" s="7" t="str">
        <f ca="1">IF(B38="","",IF(Q38&lt;&gt;"",Q38,IF(H38&gt;TODAY(),"لم يبدأ بعد",IF(J38&lt;TODAY(),"منتهٍ",IF(J38-TODAY()&lt;='القوائم والإعدادات'!$E$2,"قريب الانتهاء","ساري")))))</f>
        <v>ساري</v>
      </c>
      <c r="S38" s="7">
        <f t="shared" ca="1" si="3"/>
        <v>295</v>
      </c>
      <c r="T38" s="7" t="str">
        <f ca="1">IF(OR(R38="ساري",R38="قريب الانتهاء"),IF(S38&lt;='القوائم والإعدادات'!$E$4,"عاجل",IF(S38&lt;='القوائم والإعدادات'!$E$3,"خلال 60 يوم",IF(S38&lt;='القوائم والإعدادات'!$E$2,"خلال 90 يوم",""))),"")</f>
        <v/>
      </c>
      <c r="U38" s="7">
        <f>IF(B38="","",COUNTIF(التمديدات!$A$2:$A$301,B38))</f>
        <v>0</v>
      </c>
      <c r="V38" s="10"/>
      <c r="W38" s="10"/>
      <c r="X38" s="7" t="str">
        <f t="shared" si="4"/>
        <v/>
      </c>
    </row>
    <row r="39" spans="1:24">
      <c r="A39" s="7">
        <v>38</v>
      </c>
      <c r="B39" s="10" t="s">
        <v>268</v>
      </c>
      <c r="C39" s="10" t="s">
        <v>269</v>
      </c>
      <c r="D39" s="10" t="s">
        <v>270</v>
      </c>
      <c r="E39" s="10" t="s">
        <v>271</v>
      </c>
      <c r="F39" s="10" t="s">
        <v>272</v>
      </c>
      <c r="G39" s="11">
        <v>46244</v>
      </c>
      <c r="H39" s="11">
        <v>46250</v>
      </c>
      <c r="I39" s="11">
        <v>46614</v>
      </c>
      <c r="J39" s="12">
        <f>IF(B39="","",MAX(I39,_xlfn.MAXIFS(التمديدات!$C$2:$C$301,التمديدات!$A$2:$A$301,B39)))</f>
        <v>46614</v>
      </c>
      <c r="K39" s="7">
        <f t="shared" si="0"/>
        <v>12</v>
      </c>
      <c r="L39" s="26"/>
      <c r="M39" s="27"/>
      <c r="N39" s="10"/>
      <c r="O39" s="10"/>
      <c r="P39" s="10"/>
      <c r="Q39" s="10"/>
      <c r="R39" s="7" t="str">
        <f ca="1">IF(B39="","",IF(Q39&lt;&gt;"",Q39,IF(H39&gt;TODAY(),"لم يبدأ بعد",IF(J39&lt;TODAY(),"منتهٍ",IF(J39-TODAY()&lt;='القوائم والإعدادات'!$E$2,"قريب الانتهاء","ساري")))))</f>
        <v>ساري</v>
      </c>
      <c r="S39" s="7">
        <f t="shared" ca="1" si="3"/>
        <v>306</v>
      </c>
      <c r="T39" s="7" t="str">
        <f ca="1">IF(OR(R39="ساري",R39="قريب الانتهاء"),IF(S39&lt;='القوائم والإعدادات'!$E$4,"عاجل",IF(S39&lt;='القوائم والإعدادات'!$E$3,"خلال 60 يوم",IF(S39&lt;='القوائم والإعدادات'!$E$2,"خلال 90 يوم",""))),"")</f>
        <v/>
      </c>
      <c r="U39" s="7">
        <f>IF(B39="","",COUNTIF(التمديدات!$A$2:$A$301,B39))</f>
        <v>0</v>
      </c>
      <c r="V39" s="10"/>
      <c r="W39" s="10"/>
      <c r="X39" s="7" t="str">
        <f t="shared" si="4"/>
        <v/>
      </c>
    </row>
    <row r="40" spans="1:24">
      <c r="A40" s="7">
        <v>39</v>
      </c>
      <c r="B40" s="10" t="s">
        <v>273</v>
      </c>
      <c r="C40" s="10" t="s">
        <v>269</v>
      </c>
      <c r="D40" s="10" t="s">
        <v>274</v>
      </c>
      <c r="E40" s="10" t="s">
        <v>271</v>
      </c>
      <c r="F40" s="10" t="s">
        <v>272</v>
      </c>
      <c r="G40" s="11">
        <v>46244</v>
      </c>
      <c r="H40" s="11">
        <v>46250</v>
      </c>
      <c r="I40" s="11">
        <v>46614</v>
      </c>
      <c r="J40" s="12">
        <f>IF(B40="","",MAX(I40,_xlfn.MAXIFS(التمديدات!$C$2:$C$301,التمديدات!$A$2:$A$301,B40)))</f>
        <v>46614</v>
      </c>
      <c r="K40" s="7">
        <f t="shared" si="0"/>
        <v>12</v>
      </c>
      <c r="L40" s="26"/>
      <c r="M40" s="27"/>
      <c r="N40" s="10"/>
      <c r="O40" s="10"/>
      <c r="P40" s="10"/>
      <c r="Q40" s="10"/>
      <c r="R40" s="7" t="str">
        <f ca="1">IF(B40="","",IF(Q40&lt;&gt;"",Q40,IF(H40&gt;TODAY(),"لم يبدأ بعد",IF(J40&lt;TODAY(),"منتهٍ",IF(J40-TODAY()&lt;='القوائم والإعدادات'!$E$2,"قريب الانتهاء","ساري")))))</f>
        <v>ساري</v>
      </c>
      <c r="S40" s="7">
        <f t="shared" ca="1" si="3"/>
        <v>306</v>
      </c>
      <c r="T40" s="7" t="str">
        <f ca="1">IF(OR(R40="ساري",R40="قريب الانتهاء"),IF(S40&lt;='القوائم والإعدادات'!$E$4,"عاجل",IF(S40&lt;='القوائم والإعدادات'!$E$3,"خلال 60 يوم",IF(S40&lt;='القوائم والإعدادات'!$E$2,"خلال 90 يوم",""))),"")</f>
        <v/>
      </c>
      <c r="U40" s="7">
        <f>IF(B40="","",COUNTIF(التمديدات!$A$2:$A$301,B40))</f>
        <v>0</v>
      </c>
      <c r="V40" s="10"/>
      <c r="W40" s="10"/>
      <c r="X40" s="7" t="str">
        <f t="shared" si="4"/>
        <v/>
      </c>
    </row>
    <row r="41" spans="1:24">
      <c r="A41" s="7">
        <v>40</v>
      </c>
      <c r="B41" s="10" t="s">
        <v>143</v>
      </c>
      <c r="C41" s="10"/>
      <c r="D41" s="10"/>
      <c r="E41" s="10"/>
      <c r="F41" s="10"/>
      <c r="G41" s="11"/>
      <c r="H41" s="11"/>
      <c r="I41" s="11"/>
      <c r="J41" s="12">
        <f>IF(B41="","",MAX(I41,_xlfn.MAXIFS(التمديدات!$C$2:$C$301,التمديدات!$A$2:$A$301,B41)))</f>
        <v>0</v>
      </c>
      <c r="K41" s="7" t="str">
        <f t="shared" si="0"/>
        <v/>
      </c>
      <c r="L41" s="26"/>
      <c r="M41" s="27"/>
      <c r="N41" s="10"/>
      <c r="O41" s="10"/>
      <c r="P41" s="10"/>
      <c r="Q41" s="10"/>
      <c r="R41" s="7" t="str">
        <f ca="1">IF(B41="","",IF(Q41&lt;&gt;"",Q41,IF(H41&gt;TODAY(),"لم يبدأ بعد",IF(J41&lt;TODAY(),"منتهٍ",IF(J41-TODAY()&lt;='القوائم والإعدادات'!$E$2,"قريب الانتهاء","ساري")))))</f>
        <v>منتهٍ</v>
      </c>
      <c r="S41" s="7">
        <f t="shared" ca="1" si="3"/>
        <v>-46308</v>
      </c>
      <c r="T41" s="7" t="str">
        <f ca="1">IF(OR(R41="ساري",R41="قريب الانتهاء"),IF(S41&lt;='القوائم والإعدادات'!$E$4,"عاجل",IF(S41&lt;='القوائم والإعدادات'!$E$3,"خلال 60 يوم",IF(S41&lt;='القوائم والإعدادات'!$E$2,"خلال 90 يوم",""))),"")</f>
        <v/>
      </c>
      <c r="U41" s="7">
        <f>IF(B41="","",COUNTIF(التمديدات!$A$2:$A$301,B41))</f>
        <v>0</v>
      </c>
      <c r="V41" s="10"/>
      <c r="W41" s="10"/>
      <c r="X41" s="7" t="str">
        <f t="shared" si="4"/>
        <v/>
      </c>
    </row>
    <row r="42" spans="1:24">
      <c r="A42" s="7">
        <v>41</v>
      </c>
      <c r="B42" s="10" t="s">
        <v>143</v>
      </c>
      <c r="C42" s="10"/>
      <c r="D42" s="10"/>
      <c r="E42" s="10"/>
      <c r="F42" s="10"/>
      <c r="G42" s="11"/>
      <c r="H42" s="11"/>
      <c r="I42" s="11"/>
      <c r="J42" s="12">
        <f>IF(B42="","",MAX(I42,_xlfn.MAXIFS(التمديدات!$C$2:$C$301,التمديدات!$A$2:$A$301,B42)))</f>
        <v>0</v>
      </c>
      <c r="K42" s="7" t="str">
        <f t="shared" si="0"/>
        <v/>
      </c>
      <c r="L42" s="26"/>
      <c r="M42" s="27"/>
      <c r="N42" s="10"/>
      <c r="O42" s="10"/>
      <c r="P42" s="10"/>
      <c r="Q42" s="10"/>
      <c r="R42" s="7" t="str">
        <f ca="1">IF(B42="","",IF(Q42&lt;&gt;"",Q42,IF(H42&gt;TODAY(),"لم يبدأ بعد",IF(J42&lt;TODAY(),"منتهٍ",IF(J42-TODAY()&lt;='القوائم والإعدادات'!$E$2,"قريب الانتهاء","ساري")))))</f>
        <v>منتهٍ</v>
      </c>
      <c r="S42" s="7">
        <f t="shared" ca="1" si="3"/>
        <v>-46308</v>
      </c>
      <c r="T42" s="7" t="str">
        <f ca="1">IF(OR(R42="ساري",R42="قريب الانتهاء"),IF(S42&lt;='القوائم والإعدادات'!$E$4,"عاجل",IF(S42&lt;='القوائم والإعدادات'!$E$3,"خلال 60 يوم",IF(S42&lt;='القوائم والإعدادات'!$E$2,"خلال 90 يوم",""))),"")</f>
        <v/>
      </c>
      <c r="U42" s="7">
        <f>IF(B42="","",COUNTIF(التمديدات!$A$2:$A$301,B42))</f>
        <v>0</v>
      </c>
      <c r="V42" s="10"/>
      <c r="W42" s="10"/>
      <c r="X42" s="7" t="str">
        <f t="shared" si="4"/>
        <v/>
      </c>
    </row>
    <row r="43" spans="1:24">
      <c r="A43" s="7">
        <v>42</v>
      </c>
      <c r="B43" s="10" t="s">
        <v>143</v>
      </c>
      <c r="C43" s="10"/>
      <c r="D43" s="10"/>
      <c r="E43" s="10"/>
      <c r="F43" s="10"/>
      <c r="G43" s="11"/>
      <c r="H43" s="11"/>
      <c r="I43" s="11"/>
      <c r="J43" s="12">
        <f>IF(B43="","",MAX(I43,_xlfn.MAXIFS(التمديدات!$C$2:$C$301,التمديدات!$A$2:$A$301,B43)))</f>
        <v>0</v>
      </c>
      <c r="K43" s="7" t="str">
        <f t="shared" si="0"/>
        <v/>
      </c>
      <c r="L43" s="26"/>
      <c r="M43" s="27"/>
      <c r="N43" s="10"/>
      <c r="O43" s="10"/>
      <c r="P43" s="10"/>
      <c r="Q43" s="10"/>
      <c r="R43" s="7" t="str">
        <f ca="1">IF(B43="","",IF(Q43&lt;&gt;"",Q43,IF(H43&gt;TODAY(),"لم يبدأ بعد",IF(J43&lt;TODAY(),"منتهٍ",IF(J43-TODAY()&lt;='القوائم والإعدادات'!$E$2,"قريب الانتهاء","ساري")))))</f>
        <v>منتهٍ</v>
      </c>
      <c r="S43" s="7">
        <f t="shared" ca="1" si="3"/>
        <v>-46308</v>
      </c>
      <c r="T43" s="7" t="str">
        <f ca="1">IF(OR(R43="ساري",R43="قريب الانتهاء"),IF(S43&lt;='القوائم والإعدادات'!$E$4,"عاجل",IF(S43&lt;='القوائم والإعدادات'!$E$3,"خلال 60 يوم",IF(S43&lt;='القوائم والإعدادات'!$E$2,"خلال 90 يوم",""))),"")</f>
        <v/>
      </c>
      <c r="U43" s="7">
        <f>IF(B43="","",COUNTIF(التمديدات!$A$2:$A$301,B43))</f>
        <v>0</v>
      </c>
      <c r="V43" s="10"/>
      <c r="W43" s="10"/>
      <c r="X43" s="7" t="str">
        <f t="shared" si="4"/>
        <v/>
      </c>
    </row>
    <row r="44" spans="1:24">
      <c r="A44" s="7">
        <v>43</v>
      </c>
      <c r="B44" s="10" t="s">
        <v>143</v>
      </c>
      <c r="C44" s="10"/>
      <c r="D44" s="10"/>
      <c r="E44" s="10"/>
      <c r="F44" s="10"/>
      <c r="G44" s="11"/>
      <c r="H44" s="11"/>
      <c r="I44" s="11"/>
      <c r="J44" s="12">
        <f>IF(B44="","",MAX(I44,_xlfn.MAXIFS(التمديدات!$C$2:$C$301,التمديدات!$A$2:$A$301,B44)))</f>
        <v>0</v>
      </c>
      <c r="K44" s="7" t="str">
        <f t="shared" si="0"/>
        <v/>
      </c>
      <c r="L44" s="26"/>
      <c r="M44" s="27"/>
      <c r="N44" s="10"/>
      <c r="O44" s="10"/>
      <c r="P44" s="10"/>
      <c r="Q44" s="10"/>
      <c r="R44" s="7" t="str">
        <f ca="1">IF(B44="","",IF(Q44&lt;&gt;"",Q44,IF(H44&gt;TODAY(),"لم يبدأ بعد",IF(J44&lt;TODAY(),"منتهٍ",IF(J44-TODAY()&lt;='القوائم والإعدادات'!$E$2,"قريب الانتهاء","ساري")))))</f>
        <v>منتهٍ</v>
      </c>
      <c r="S44" s="7">
        <f t="shared" ca="1" si="3"/>
        <v>-46308</v>
      </c>
      <c r="T44" s="7" t="str">
        <f ca="1">IF(OR(R44="ساري",R44="قريب الانتهاء"),IF(S44&lt;='القوائم والإعدادات'!$E$4,"عاجل",IF(S44&lt;='القوائم والإعدادات'!$E$3,"خلال 60 يوم",IF(S44&lt;='القوائم والإعدادات'!$E$2,"خلال 90 يوم",""))),"")</f>
        <v/>
      </c>
      <c r="U44" s="7">
        <f>IF(B44="","",COUNTIF(التمديدات!$A$2:$A$301,B44))</f>
        <v>0</v>
      </c>
      <c r="V44" s="10"/>
      <c r="W44" s="10"/>
      <c r="X44" s="7" t="str">
        <f t="shared" si="4"/>
        <v/>
      </c>
    </row>
    <row r="45" spans="1:24">
      <c r="A45" s="7">
        <v>44</v>
      </c>
      <c r="B45" s="10" t="s">
        <v>143</v>
      </c>
      <c r="C45" s="10"/>
      <c r="D45" s="10"/>
      <c r="E45" s="10"/>
      <c r="F45" s="10"/>
      <c r="G45" s="11"/>
      <c r="H45" s="11"/>
      <c r="I45" s="11"/>
      <c r="J45" s="12">
        <f>IF(B45="","",MAX(I45,_xlfn.MAXIFS(التمديدات!$C$2:$C$301,التمديدات!$A$2:$A$301,B45)))</f>
        <v>0</v>
      </c>
      <c r="K45" s="7" t="str">
        <f t="shared" si="0"/>
        <v/>
      </c>
      <c r="L45" s="26"/>
      <c r="M45" s="27"/>
      <c r="N45" s="10"/>
      <c r="O45" s="10"/>
      <c r="P45" s="10"/>
      <c r="Q45" s="10"/>
      <c r="R45" s="7" t="str">
        <f ca="1">IF(B45="","",IF(Q45&lt;&gt;"",Q45,IF(H45&gt;TODAY(),"لم يبدأ بعد",IF(J45&lt;TODAY(),"منتهٍ",IF(J45-TODAY()&lt;='القوائم والإعدادات'!$E$2,"قريب الانتهاء","ساري")))))</f>
        <v>منتهٍ</v>
      </c>
      <c r="S45" s="7">
        <f t="shared" ca="1" si="3"/>
        <v>-46308</v>
      </c>
      <c r="T45" s="7" t="str">
        <f ca="1">IF(OR(R45="ساري",R45="قريب الانتهاء"),IF(S45&lt;='القوائم والإعدادات'!$E$4,"عاجل",IF(S45&lt;='القوائم والإعدادات'!$E$3,"خلال 60 يوم",IF(S45&lt;='القوائم والإعدادات'!$E$2,"خلال 90 يوم",""))),"")</f>
        <v/>
      </c>
      <c r="U45" s="7">
        <f>IF(B45="","",COUNTIF(التمديدات!$A$2:$A$301,B45))</f>
        <v>0</v>
      </c>
      <c r="V45" s="10"/>
      <c r="W45" s="10"/>
      <c r="X45" s="7" t="str">
        <f t="shared" si="4"/>
        <v/>
      </c>
    </row>
    <row r="46" spans="1:24">
      <c r="A46" s="7">
        <v>45</v>
      </c>
      <c r="B46" s="10" t="s">
        <v>143</v>
      </c>
      <c r="C46" s="10"/>
      <c r="D46" s="10"/>
      <c r="E46" s="10"/>
      <c r="F46" s="10"/>
      <c r="G46" s="11"/>
      <c r="H46" s="11"/>
      <c r="I46" s="11"/>
      <c r="J46" s="12">
        <f>IF(B46="","",MAX(I46,_xlfn.MAXIFS(التمديدات!$C$2:$C$301,التمديدات!$A$2:$A$301,B46)))</f>
        <v>0</v>
      </c>
      <c r="K46" s="7" t="str">
        <f t="shared" si="0"/>
        <v/>
      </c>
      <c r="L46" s="26"/>
      <c r="M46" s="27"/>
      <c r="N46" s="10"/>
      <c r="O46" s="10"/>
      <c r="P46" s="10"/>
      <c r="Q46" s="10"/>
      <c r="R46" s="7" t="str">
        <f ca="1">IF(B46="","",IF(Q46&lt;&gt;"",Q46,IF(H46&gt;TODAY(),"لم يبدأ بعد",IF(J46&lt;TODAY(),"منتهٍ",IF(J46-TODAY()&lt;='القوائم والإعدادات'!$E$2,"قريب الانتهاء","ساري")))))</f>
        <v>منتهٍ</v>
      </c>
      <c r="S46" s="7">
        <f t="shared" ca="1" si="3"/>
        <v>-46308</v>
      </c>
      <c r="T46" s="7" t="str">
        <f ca="1">IF(OR(R46="ساري",R46="قريب الانتهاء"),IF(S46&lt;='القوائم والإعدادات'!$E$4,"عاجل",IF(S46&lt;='القوائم والإعدادات'!$E$3,"خلال 60 يوم",IF(S46&lt;='القوائم والإعدادات'!$E$2,"خلال 90 يوم",""))),"")</f>
        <v/>
      </c>
      <c r="U46" s="7">
        <f>IF(B46="","",COUNTIF(التمديدات!$A$2:$A$301,B46))</f>
        <v>0</v>
      </c>
      <c r="V46" s="10"/>
      <c r="W46" s="10"/>
      <c r="X46" s="7" t="str">
        <f t="shared" si="4"/>
        <v/>
      </c>
    </row>
    <row r="47" spans="1:24">
      <c r="A47" s="7">
        <v>46</v>
      </c>
      <c r="B47" s="10" t="s">
        <v>143</v>
      </c>
      <c r="C47" s="10"/>
      <c r="D47" s="10"/>
      <c r="E47" s="10"/>
      <c r="F47" s="10"/>
      <c r="G47" s="11"/>
      <c r="H47" s="11"/>
      <c r="I47" s="11"/>
      <c r="J47" s="12">
        <f>IF(B47="","",MAX(I47,_xlfn.MAXIFS(التمديدات!$C$2:$C$301,التمديدات!$A$2:$A$301,B47)))</f>
        <v>0</v>
      </c>
      <c r="K47" s="7" t="str">
        <f t="shared" si="0"/>
        <v/>
      </c>
      <c r="L47" s="26"/>
      <c r="M47" s="27"/>
      <c r="N47" s="10"/>
      <c r="O47" s="10"/>
      <c r="P47" s="10"/>
      <c r="Q47" s="10"/>
      <c r="R47" s="7" t="str">
        <f ca="1">IF(B47="","",IF(Q47&lt;&gt;"",Q47,IF(H47&gt;TODAY(),"لم يبدأ بعد",IF(J47&lt;TODAY(),"منتهٍ",IF(J47-TODAY()&lt;='القوائم والإعدادات'!$E$2,"قريب الانتهاء","ساري")))))</f>
        <v>منتهٍ</v>
      </c>
      <c r="S47" s="7">
        <f t="shared" ca="1" si="3"/>
        <v>-46308</v>
      </c>
      <c r="T47" s="7" t="str">
        <f ca="1">IF(OR(R47="ساري",R47="قريب الانتهاء"),IF(S47&lt;='القوائم والإعدادات'!$E$4,"عاجل",IF(S47&lt;='القوائم والإعدادات'!$E$3,"خلال 60 يوم",IF(S47&lt;='القوائم والإعدادات'!$E$2,"خلال 90 يوم",""))),"")</f>
        <v/>
      </c>
      <c r="U47" s="7">
        <f>IF(B47="","",COUNTIF(التمديدات!$A$2:$A$301,B47))</f>
        <v>0</v>
      </c>
      <c r="V47" s="10"/>
      <c r="W47" s="10"/>
      <c r="X47" s="7" t="str">
        <f t="shared" si="4"/>
        <v/>
      </c>
    </row>
    <row r="48" spans="1:24">
      <c r="A48" s="7">
        <v>47</v>
      </c>
      <c r="B48" s="10" t="s">
        <v>143</v>
      </c>
      <c r="C48" s="10"/>
      <c r="D48" s="10"/>
      <c r="E48" s="10"/>
      <c r="F48" s="10"/>
      <c r="G48" s="11"/>
      <c r="H48" s="11"/>
      <c r="I48" s="11"/>
      <c r="J48" s="12">
        <f>IF(B48="","",MAX(I48,_xlfn.MAXIFS(التمديدات!$C$2:$C$301,التمديدات!$A$2:$A$301,B48)))</f>
        <v>0</v>
      </c>
      <c r="K48" s="7" t="str">
        <f t="shared" si="0"/>
        <v/>
      </c>
      <c r="L48" s="26"/>
      <c r="M48" s="27"/>
      <c r="N48" s="10"/>
      <c r="O48" s="10"/>
      <c r="P48" s="10"/>
      <c r="Q48" s="10"/>
      <c r="R48" s="7" t="str">
        <f ca="1">IF(B48="","",IF(Q48&lt;&gt;"",Q48,IF(H48&gt;TODAY(),"لم يبدأ بعد",IF(J48&lt;TODAY(),"منتهٍ",IF(J48-TODAY()&lt;='القوائم والإعدادات'!$E$2,"قريب الانتهاء","ساري")))))</f>
        <v>منتهٍ</v>
      </c>
      <c r="S48" s="7">
        <f t="shared" ca="1" si="3"/>
        <v>-46308</v>
      </c>
      <c r="T48" s="7" t="str">
        <f ca="1">IF(OR(R48="ساري",R48="قريب الانتهاء"),IF(S48&lt;='القوائم والإعدادات'!$E$4,"عاجل",IF(S48&lt;='القوائم والإعدادات'!$E$3,"خلال 60 يوم",IF(S48&lt;='القوائم والإعدادات'!$E$2,"خلال 90 يوم",""))),"")</f>
        <v/>
      </c>
      <c r="U48" s="7">
        <f>IF(B48="","",COUNTIF(التمديدات!$A$2:$A$301,B48))</f>
        <v>0</v>
      </c>
      <c r="V48" s="10"/>
      <c r="W48" s="10"/>
      <c r="X48" s="7" t="str">
        <f t="shared" si="4"/>
        <v/>
      </c>
    </row>
    <row r="49" spans="1:24">
      <c r="A49" s="7">
        <v>48</v>
      </c>
      <c r="B49" s="10" t="s">
        <v>143</v>
      </c>
      <c r="C49" s="10"/>
      <c r="D49" s="10"/>
      <c r="E49" s="10"/>
      <c r="F49" s="10"/>
      <c r="G49" s="11"/>
      <c r="H49" s="11"/>
      <c r="I49" s="11"/>
      <c r="J49" s="12">
        <f>IF(B49="","",MAX(I49,_xlfn.MAXIFS(التمديدات!$C$2:$C$301,التمديدات!$A$2:$A$301,B49)))</f>
        <v>0</v>
      </c>
      <c r="K49" s="7" t="str">
        <f t="shared" si="0"/>
        <v/>
      </c>
      <c r="L49" s="26"/>
      <c r="M49" s="27"/>
      <c r="N49" s="10"/>
      <c r="O49" s="10"/>
      <c r="P49" s="10"/>
      <c r="Q49" s="10"/>
      <c r="R49" s="7" t="str">
        <f ca="1">IF(B49="","",IF(Q49&lt;&gt;"",Q49,IF(H49&gt;TODAY(),"لم يبدأ بعد",IF(J49&lt;TODAY(),"منتهٍ",IF(J49-TODAY()&lt;='القوائم والإعدادات'!$E$2,"قريب الانتهاء","ساري")))))</f>
        <v>منتهٍ</v>
      </c>
      <c r="S49" s="7">
        <f t="shared" ca="1" si="3"/>
        <v>-46308</v>
      </c>
      <c r="T49" s="7" t="str">
        <f ca="1">IF(OR(R49="ساري",R49="قريب الانتهاء"),IF(S49&lt;='القوائم والإعدادات'!$E$4,"عاجل",IF(S49&lt;='القوائم والإعدادات'!$E$3,"خلال 60 يوم",IF(S49&lt;='القوائم والإعدادات'!$E$2,"خلال 90 يوم",""))),"")</f>
        <v/>
      </c>
      <c r="U49" s="7">
        <f>IF(B49="","",COUNTIF(التمديدات!$A$2:$A$301,B49))</f>
        <v>0</v>
      </c>
      <c r="V49" s="10"/>
      <c r="W49" s="10"/>
      <c r="X49" s="7" t="str">
        <f t="shared" si="4"/>
        <v/>
      </c>
    </row>
    <row r="50" spans="1:24">
      <c r="A50" s="7">
        <v>49</v>
      </c>
      <c r="B50" s="10" t="s">
        <v>143</v>
      </c>
      <c r="C50" s="10"/>
      <c r="D50" s="10"/>
      <c r="E50" s="10"/>
      <c r="F50" s="10"/>
      <c r="G50" s="11"/>
      <c r="H50" s="11"/>
      <c r="I50" s="11"/>
      <c r="J50" s="12">
        <f>IF(B50="","",MAX(I50,_xlfn.MAXIFS(التمديدات!$C$2:$C$301,التمديدات!$A$2:$A$301,B50)))</f>
        <v>0</v>
      </c>
      <c r="K50" s="7" t="str">
        <f t="shared" si="0"/>
        <v/>
      </c>
      <c r="L50" s="26"/>
      <c r="M50" s="27"/>
      <c r="N50" s="10"/>
      <c r="O50" s="10"/>
      <c r="P50" s="10"/>
      <c r="Q50" s="10"/>
      <c r="R50" s="7" t="str">
        <f ca="1">IF(B50="","",IF(Q50&lt;&gt;"",Q50,IF(H50&gt;TODAY(),"لم يبدأ بعد",IF(J50&lt;TODAY(),"منتهٍ",IF(J50-TODAY()&lt;='القوائم والإعدادات'!$E$2,"قريب الانتهاء","ساري")))))</f>
        <v>منتهٍ</v>
      </c>
      <c r="S50" s="7">
        <f t="shared" ca="1" si="3"/>
        <v>-46308</v>
      </c>
      <c r="T50" s="7" t="str">
        <f ca="1">IF(OR(R50="ساري",R50="قريب الانتهاء"),IF(S50&lt;='القوائم والإعدادات'!$E$4,"عاجل",IF(S50&lt;='القوائم والإعدادات'!$E$3,"خلال 60 يوم",IF(S50&lt;='القوائم والإعدادات'!$E$2,"خلال 90 يوم",""))),"")</f>
        <v/>
      </c>
      <c r="U50" s="7">
        <f>IF(B50="","",COUNTIF(التمديدات!$A$2:$A$301,B50))</f>
        <v>0</v>
      </c>
      <c r="V50" s="10"/>
      <c r="W50" s="10"/>
      <c r="X50" s="7" t="str">
        <f t="shared" si="4"/>
        <v/>
      </c>
    </row>
    <row r="51" spans="1:24">
      <c r="A51" s="7">
        <v>50</v>
      </c>
      <c r="B51" s="10" t="s">
        <v>143</v>
      </c>
      <c r="C51" s="10"/>
      <c r="D51" s="10"/>
      <c r="E51" s="10"/>
      <c r="F51" s="10"/>
      <c r="G51" s="11"/>
      <c r="H51" s="11"/>
      <c r="I51" s="11"/>
      <c r="J51" s="12">
        <f>IF(B51="","",MAX(I51,_xlfn.MAXIFS(التمديدات!$C$2:$C$301,التمديدات!$A$2:$A$301,B51)))</f>
        <v>0</v>
      </c>
      <c r="K51" s="7" t="str">
        <f t="shared" si="0"/>
        <v/>
      </c>
      <c r="L51" s="26"/>
      <c r="M51" s="27"/>
      <c r="N51" s="10"/>
      <c r="O51" s="10"/>
      <c r="P51" s="10"/>
      <c r="Q51" s="10"/>
      <c r="R51" s="7" t="str">
        <f ca="1">IF(B51="","",IF(Q51&lt;&gt;"",Q51,IF(H51&gt;TODAY(),"لم يبدأ بعد",IF(J51&lt;TODAY(),"منتهٍ",IF(J51-TODAY()&lt;='القوائم والإعدادات'!$E$2,"قريب الانتهاء","ساري")))))</f>
        <v>منتهٍ</v>
      </c>
      <c r="S51" s="7">
        <f t="shared" ca="1" si="3"/>
        <v>-46308</v>
      </c>
      <c r="T51" s="7" t="str">
        <f ca="1">IF(OR(R51="ساري",R51="قريب الانتهاء"),IF(S51&lt;='القوائم والإعدادات'!$E$4,"عاجل",IF(S51&lt;='القوائم والإعدادات'!$E$3,"خلال 60 يوم",IF(S51&lt;='القوائم والإعدادات'!$E$2,"خلال 90 يوم",""))),"")</f>
        <v/>
      </c>
      <c r="U51" s="7">
        <f>IF(B51="","",COUNTIF(التمديدات!$A$2:$A$301,B51))</f>
        <v>0</v>
      </c>
      <c r="V51" s="10"/>
      <c r="W51" s="10"/>
      <c r="X51" s="7" t="str">
        <f t="shared" si="4"/>
        <v/>
      </c>
    </row>
    <row r="52" spans="1:24">
      <c r="A52" s="7">
        <v>51</v>
      </c>
      <c r="B52" s="10" t="s">
        <v>143</v>
      </c>
      <c r="C52" s="10"/>
      <c r="D52" s="10"/>
      <c r="E52" s="10"/>
      <c r="F52" s="10"/>
      <c r="G52" s="11"/>
      <c r="H52" s="11"/>
      <c r="I52" s="11"/>
      <c r="J52" s="12">
        <f>IF(B52="","",MAX(I52,_xlfn.MAXIFS(التمديدات!$C$2:$C$301,التمديدات!$A$2:$A$301,B52)))</f>
        <v>0</v>
      </c>
      <c r="K52" s="7" t="str">
        <f t="shared" si="0"/>
        <v/>
      </c>
      <c r="L52" s="26"/>
      <c r="M52" s="27"/>
      <c r="N52" s="10"/>
      <c r="O52" s="10"/>
      <c r="P52" s="10"/>
      <c r="Q52" s="10"/>
      <c r="R52" s="7" t="str">
        <f ca="1">IF(B52="","",IF(Q52&lt;&gt;"",Q52,IF(H52&gt;TODAY(),"لم يبدأ بعد",IF(J52&lt;TODAY(),"منتهٍ",IF(J52-TODAY()&lt;='القوائم والإعدادات'!$E$2,"قريب الانتهاء","ساري")))))</f>
        <v>منتهٍ</v>
      </c>
      <c r="S52" s="7">
        <f t="shared" ca="1" si="3"/>
        <v>-46308</v>
      </c>
      <c r="T52" s="7" t="str">
        <f ca="1">IF(OR(R52="ساري",R52="قريب الانتهاء"),IF(S52&lt;='القوائم والإعدادات'!$E$4,"عاجل",IF(S52&lt;='القوائم والإعدادات'!$E$3,"خلال 60 يوم",IF(S52&lt;='القوائم والإعدادات'!$E$2,"خلال 90 يوم",""))),"")</f>
        <v/>
      </c>
      <c r="U52" s="7">
        <f>IF(B52="","",COUNTIF(التمديدات!$A$2:$A$301,B52))</f>
        <v>0</v>
      </c>
      <c r="V52" s="10"/>
      <c r="W52" s="10"/>
      <c r="X52" s="7" t="str">
        <f t="shared" si="4"/>
        <v/>
      </c>
    </row>
    <row r="53" spans="1:24">
      <c r="A53" s="7">
        <v>52</v>
      </c>
      <c r="B53" s="10"/>
      <c r="C53" s="10"/>
      <c r="D53" s="10"/>
      <c r="E53" s="10"/>
      <c r="F53" s="10"/>
      <c r="G53" s="11"/>
      <c r="H53" s="11"/>
      <c r="I53" s="11"/>
      <c r="J53" s="12" t="str">
        <f>IF(B53="","",MAX(I53,_xlfn.MAXIFS(التمديدات!$C$2:$C$301,التمديدات!$A$2:$A$301,B53)))</f>
        <v/>
      </c>
      <c r="K53" s="7" t="str">
        <f t="shared" si="0"/>
        <v/>
      </c>
      <c r="L53" s="26"/>
      <c r="M53" s="27"/>
      <c r="N53" s="10"/>
      <c r="O53" s="10"/>
      <c r="P53" s="10"/>
      <c r="Q53" s="10"/>
      <c r="R53" s="7" t="str">
        <f ca="1">IF(B53="","",IF(Q53&lt;&gt;"",Q53,IF(H53&gt;TODAY(),"لم يبدأ بعد",IF(J53&lt;TODAY(),"منتهٍ",IF(J53-TODAY()&lt;='القوائم والإعدادات'!$E$2,"قريب الانتهاء","ساري")))))</f>
        <v/>
      </c>
      <c r="S53" s="7" t="str">
        <f t="shared" ca="1" si="3"/>
        <v/>
      </c>
      <c r="T53" s="7" t="str">
        <f ca="1">IF(OR(R53="ساري",R53="قريب الانتهاء"),IF(S53&lt;='القوائم والإعدادات'!$E$4,"عاجل",IF(S53&lt;='القوائم والإعدادات'!$E$3,"خلال 60 يوم",IF(S53&lt;='القوائم والإعدادات'!$E$2,"خلال 90 يوم",""))),"")</f>
        <v/>
      </c>
      <c r="U53" s="7" t="str">
        <f>IF(B53="","",COUNTIF(التمديدات!$A$2:$A$301,B53))</f>
        <v/>
      </c>
      <c r="V53" s="10"/>
      <c r="W53" s="10"/>
      <c r="X53" s="7" t="str">
        <f t="shared" si="4"/>
        <v/>
      </c>
    </row>
    <row r="54" spans="1:24">
      <c r="A54" s="7">
        <v>53</v>
      </c>
      <c r="B54" s="10"/>
      <c r="C54" s="10"/>
      <c r="D54" s="10"/>
      <c r="E54" s="10"/>
      <c r="F54" s="10"/>
      <c r="G54" s="11"/>
      <c r="H54" s="11"/>
      <c r="I54" s="11"/>
      <c r="J54" s="12" t="str">
        <f>IF(B54="","",MAX(I54,_xlfn.MAXIFS(التمديدات!$C$2:$C$301,التمديدات!$A$2:$A$301,B54)))</f>
        <v/>
      </c>
      <c r="K54" s="7" t="str">
        <f t="shared" si="0"/>
        <v/>
      </c>
      <c r="L54" s="26"/>
      <c r="M54" s="27"/>
      <c r="N54" s="10"/>
      <c r="O54" s="10"/>
      <c r="P54" s="10"/>
      <c r="Q54" s="10"/>
      <c r="R54" s="7" t="str">
        <f ca="1">IF(B54="","",IF(Q54&lt;&gt;"",Q54,IF(H54&gt;TODAY(),"لم يبدأ بعد",IF(J54&lt;TODAY(),"منتهٍ",IF(J54-TODAY()&lt;='القوائم والإعدادات'!$E$2,"قريب الانتهاء","ساري")))))</f>
        <v/>
      </c>
      <c r="S54" s="7" t="str">
        <f t="shared" ca="1" si="3"/>
        <v/>
      </c>
      <c r="T54" s="7" t="str">
        <f ca="1">IF(OR(R54="ساري",R54="قريب الانتهاء"),IF(S54&lt;='القوائم والإعدادات'!$E$4,"عاجل",IF(S54&lt;='القوائم والإعدادات'!$E$3,"خلال 60 يوم",IF(S54&lt;='القوائم والإعدادات'!$E$2,"خلال 90 يوم",""))),"")</f>
        <v/>
      </c>
      <c r="U54" s="7" t="str">
        <f>IF(B54="","",COUNTIF(التمديدات!$A$2:$A$301,B54))</f>
        <v/>
      </c>
      <c r="V54" s="10"/>
      <c r="W54" s="10"/>
      <c r="X54" s="7" t="str">
        <f t="shared" si="4"/>
        <v/>
      </c>
    </row>
    <row r="55" spans="1:24">
      <c r="A55" s="7">
        <v>54</v>
      </c>
      <c r="B55" s="10"/>
      <c r="C55" s="10"/>
      <c r="D55" s="10"/>
      <c r="E55" s="10"/>
      <c r="F55" s="10"/>
      <c r="G55" s="11"/>
      <c r="H55" s="11"/>
      <c r="I55" s="11"/>
      <c r="J55" s="12" t="str">
        <f>IF(B55="","",MAX(I55,_xlfn.MAXIFS(التمديدات!$C$2:$C$301,التمديدات!$A$2:$A$301,B55)))</f>
        <v/>
      </c>
      <c r="K55" s="7" t="str">
        <f t="shared" si="0"/>
        <v/>
      </c>
      <c r="L55" s="26"/>
      <c r="M55" s="27"/>
      <c r="N55" s="10"/>
      <c r="O55" s="10"/>
      <c r="P55" s="10"/>
      <c r="Q55" s="10"/>
      <c r="R55" s="7" t="str">
        <f ca="1">IF(B55="","",IF(Q55&lt;&gt;"",Q55,IF(H55&gt;TODAY(),"لم يبدأ بعد",IF(J55&lt;TODAY(),"منتهٍ",IF(J55-TODAY()&lt;='القوائم والإعدادات'!$E$2,"قريب الانتهاء","ساري")))))</f>
        <v/>
      </c>
      <c r="S55" s="7" t="str">
        <f t="shared" ca="1" si="3"/>
        <v/>
      </c>
      <c r="T55" s="7" t="str">
        <f ca="1">IF(OR(R55="ساري",R55="قريب الانتهاء"),IF(S55&lt;='القوائم والإعدادات'!$E$4,"عاجل",IF(S55&lt;='القوائم والإعدادات'!$E$3,"خلال 60 يوم",IF(S55&lt;='القوائم والإعدادات'!$E$2,"خلال 90 يوم",""))),"")</f>
        <v/>
      </c>
      <c r="U55" s="7" t="str">
        <f>IF(B55="","",COUNTIF(التمديدات!$A$2:$A$301,B55))</f>
        <v/>
      </c>
      <c r="V55" s="10"/>
      <c r="W55" s="10"/>
      <c r="X55" s="7" t="str">
        <f t="shared" si="4"/>
        <v/>
      </c>
    </row>
    <row r="56" spans="1:24">
      <c r="A56" s="7">
        <v>55</v>
      </c>
      <c r="B56" s="10"/>
      <c r="C56" s="10"/>
      <c r="D56" s="10"/>
      <c r="E56" s="10"/>
      <c r="F56" s="10"/>
      <c r="G56" s="11"/>
      <c r="H56" s="11"/>
      <c r="I56" s="11"/>
      <c r="J56" s="12" t="str">
        <f>IF(B56="","",MAX(I56,_xlfn.MAXIFS(التمديدات!$C$2:$C$301,التمديدات!$A$2:$A$301,B56)))</f>
        <v/>
      </c>
      <c r="K56" s="7" t="str">
        <f t="shared" si="0"/>
        <v/>
      </c>
      <c r="L56" s="26"/>
      <c r="M56" s="27"/>
      <c r="N56" s="10"/>
      <c r="O56" s="10"/>
      <c r="P56" s="10"/>
      <c r="Q56" s="10"/>
      <c r="R56" s="7" t="str">
        <f ca="1">IF(B56="","",IF(Q56&lt;&gt;"",Q56,IF(H56&gt;TODAY(),"لم يبدأ بعد",IF(J56&lt;TODAY(),"منتهٍ",IF(J56-TODAY()&lt;='القوائم والإعدادات'!$E$2,"قريب الانتهاء","ساري")))))</f>
        <v/>
      </c>
      <c r="S56" s="7" t="str">
        <f t="shared" ca="1" si="3"/>
        <v/>
      </c>
      <c r="T56" s="7" t="str">
        <f ca="1">IF(OR(R56="ساري",R56="قريب الانتهاء"),IF(S56&lt;='القوائم والإعدادات'!$E$4,"عاجل",IF(S56&lt;='القوائم والإعدادات'!$E$3,"خلال 60 يوم",IF(S56&lt;='القوائم والإعدادات'!$E$2,"خلال 90 يوم",""))),"")</f>
        <v/>
      </c>
      <c r="U56" s="7" t="str">
        <f>IF(B56="","",COUNTIF(التمديدات!$A$2:$A$301,B56))</f>
        <v/>
      </c>
      <c r="V56" s="10"/>
      <c r="W56" s="10"/>
      <c r="X56" s="7" t="str">
        <f t="shared" si="4"/>
        <v/>
      </c>
    </row>
    <row r="57" spans="1:24">
      <c r="A57" s="7">
        <v>56</v>
      </c>
      <c r="B57" s="10"/>
      <c r="C57" s="10"/>
      <c r="D57" s="10"/>
      <c r="E57" s="10"/>
      <c r="F57" s="10"/>
      <c r="G57" s="11"/>
      <c r="H57" s="11"/>
      <c r="I57" s="11"/>
      <c r="J57" s="12" t="str">
        <f>IF(B57="","",MAX(I57,_xlfn.MAXIFS(التمديدات!$C$2:$C$301,التمديدات!$A$2:$A$301,B57)))</f>
        <v/>
      </c>
      <c r="K57" s="7" t="str">
        <f t="shared" si="0"/>
        <v/>
      </c>
      <c r="L57" s="26"/>
      <c r="M57" s="27"/>
      <c r="N57" s="10"/>
      <c r="O57" s="10"/>
      <c r="P57" s="10"/>
      <c r="Q57" s="10"/>
      <c r="R57" s="7" t="str">
        <f ca="1">IF(B57="","",IF(Q57&lt;&gt;"",Q57,IF(H57&gt;TODAY(),"لم يبدأ بعد",IF(J57&lt;TODAY(),"منتهٍ",IF(J57-TODAY()&lt;='القوائم والإعدادات'!$E$2,"قريب الانتهاء","ساري")))))</f>
        <v/>
      </c>
      <c r="S57" s="7" t="str">
        <f t="shared" ca="1" si="3"/>
        <v/>
      </c>
      <c r="T57" s="7" t="str">
        <f ca="1">IF(OR(R57="ساري",R57="قريب الانتهاء"),IF(S57&lt;='القوائم والإعدادات'!$E$4,"عاجل",IF(S57&lt;='القوائم والإعدادات'!$E$3,"خلال 60 يوم",IF(S57&lt;='القوائم والإعدادات'!$E$2,"خلال 90 يوم",""))),"")</f>
        <v/>
      </c>
      <c r="U57" s="7" t="str">
        <f>IF(B57="","",COUNTIF(التمديدات!$A$2:$A$301,B57))</f>
        <v/>
      </c>
      <c r="V57" s="10"/>
      <c r="W57" s="10"/>
      <c r="X57" s="7" t="str">
        <f t="shared" si="4"/>
        <v/>
      </c>
    </row>
    <row r="58" spans="1:24">
      <c r="A58" s="7">
        <v>57</v>
      </c>
      <c r="B58" s="10"/>
      <c r="C58" s="10"/>
      <c r="D58" s="10"/>
      <c r="E58" s="10"/>
      <c r="F58" s="10"/>
      <c r="G58" s="11"/>
      <c r="H58" s="11"/>
      <c r="I58" s="11"/>
      <c r="J58" s="12" t="str">
        <f>IF(B58="","",MAX(I58,_xlfn.MAXIFS(التمديدات!$C$2:$C$301,التمديدات!$A$2:$A$301,B58)))</f>
        <v/>
      </c>
      <c r="K58" s="7" t="str">
        <f t="shared" si="0"/>
        <v/>
      </c>
      <c r="L58" s="26"/>
      <c r="M58" s="27"/>
      <c r="N58" s="10"/>
      <c r="O58" s="10"/>
      <c r="P58" s="10"/>
      <c r="Q58" s="10"/>
      <c r="R58" s="7" t="str">
        <f ca="1">IF(B58="","",IF(Q58&lt;&gt;"",Q58,IF(H58&gt;TODAY(),"لم يبدأ بعد",IF(J58&lt;TODAY(),"منتهٍ",IF(J58-TODAY()&lt;='القوائم والإعدادات'!$E$2,"قريب الانتهاء","ساري")))))</f>
        <v/>
      </c>
      <c r="S58" s="7" t="str">
        <f t="shared" ca="1" si="3"/>
        <v/>
      </c>
      <c r="T58" s="7" t="str">
        <f ca="1">IF(OR(R58="ساري",R58="قريب الانتهاء"),IF(S58&lt;='القوائم والإعدادات'!$E$4,"عاجل",IF(S58&lt;='القوائم والإعدادات'!$E$3,"خلال 60 يوم",IF(S58&lt;='القوائم والإعدادات'!$E$2,"خلال 90 يوم",""))),"")</f>
        <v/>
      </c>
      <c r="U58" s="7" t="str">
        <f>IF(B58="","",COUNTIF(التمديدات!$A$2:$A$301,B58))</f>
        <v/>
      </c>
      <c r="V58" s="10"/>
      <c r="W58" s="10"/>
      <c r="X58" s="7" t="str">
        <f t="shared" si="4"/>
        <v/>
      </c>
    </row>
    <row r="59" spans="1:24">
      <c r="A59" s="7">
        <v>58</v>
      </c>
      <c r="B59" s="10"/>
      <c r="C59" s="10"/>
      <c r="D59" s="10"/>
      <c r="E59" s="10"/>
      <c r="F59" s="10"/>
      <c r="G59" s="11"/>
      <c r="H59" s="11"/>
      <c r="I59" s="11"/>
      <c r="J59" s="12" t="str">
        <f>IF(B59="","",MAX(I59,_xlfn.MAXIFS(التمديدات!$C$2:$C$301,التمديدات!$A$2:$A$301,B59)))</f>
        <v/>
      </c>
      <c r="K59" s="7" t="str">
        <f t="shared" si="0"/>
        <v/>
      </c>
      <c r="L59" s="26"/>
      <c r="M59" s="27"/>
      <c r="N59" s="10"/>
      <c r="O59" s="10"/>
      <c r="P59" s="10"/>
      <c r="Q59" s="10"/>
      <c r="R59" s="7" t="str">
        <f ca="1">IF(B59="","",IF(Q59&lt;&gt;"",Q59,IF(H59&gt;TODAY(),"لم يبدأ بعد",IF(J59&lt;TODAY(),"منتهٍ",IF(J59-TODAY()&lt;='القوائم والإعدادات'!$E$2,"قريب الانتهاء","ساري")))))</f>
        <v/>
      </c>
      <c r="S59" s="7" t="str">
        <f t="shared" ca="1" si="3"/>
        <v/>
      </c>
      <c r="T59" s="7" t="str">
        <f ca="1">IF(OR(R59="ساري",R59="قريب الانتهاء"),IF(S59&lt;='القوائم والإعدادات'!$E$4,"عاجل",IF(S59&lt;='القوائم والإعدادات'!$E$3,"خلال 60 يوم",IF(S59&lt;='القوائم والإعدادات'!$E$2,"خلال 90 يوم",""))),"")</f>
        <v/>
      </c>
      <c r="U59" s="7" t="str">
        <f>IF(B59="","",COUNTIF(التمديدات!$A$2:$A$301,B59))</f>
        <v/>
      </c>
      <c r="V59" s="10"/>
      <c r="W59" s="10"/>
      <c r="X59" s="7" t="str">
        <f t="shared" si="4"/>
        <v/>
      </c>
    </row>
    <row r="60" spans="1:24">
      <c r="A60" s="7">
        <v>59</v>
      </c>
      <c r="B60" s="10"/>
      <c r="C60" s="10"/>
      <c r="D60" s="10"/>
      <c r="E60" s="10"/>
      <c r="F60" s="10"/>
      <c r="G60" s="11"/>
      <c r="H60" s="11"/>
      <c r="I60" s="11"/>
      <c r="J60" s="12" t="str">
        <f>IF(B60="","",MAX(I60,_xlfn.MAXIFS(التمديدات!$C$2:$C$301,التمديدات!$A$2:$A$301,B60)))</f>
        <v/>
      </c>
      <c r="K60" s="7" t="str">
        <f t="shared" si="0"/>
        <v/>
      </c>
      <c r="L60" s="26"/>
      <c r="M60" s="27"/>
      <c r="N60" s="10"/>
      <c r="O60" s="10"/>
      <c r="P60" s="10"/>
      <c r="Q60" s="10"/>
      <c r="R60" s="7" t="str">
        <f ca="1">IF(B60="","",IF(Q60&lt;&gt;"",Q60,IF(H60&gt;TODAY(),"لم يبدأ بعد",IF(J60&lt;TODAY(),"منتهٍ",IF(J60-TODAY()&lt;='القوائم والإعدادات'!$E$2,"قريب الانتهاء","ساري")))))</f>
        <v/>
      </c>
      <c r="S60" s="7" t="str">
        <f t="shared" ca="1" si="3"/>
        <v/>
      </c>
      <c r="T60" s="7" t="str">
        <f ca="1">IF(OR(R60="ساري",R60="قريب الانتهاء"),IF(S60&lt;='القوائم والإعدادات'!$E$4,"عاجل",IF(S60&lt;='القوائم والإعدادات'!$E$3,"خلال 60 يوم",IF(S60&lt;='القوائم والإعدادات'!$E$2,"خلال 90 يوم",""))),"")</f>
        <v/>
      </c>
      <c r="U60" s="7" t="str">
        <f>IF(B60="","",COUNTIF(التمديدات!$A$2:$A$301,B60))</f>
        <v/>
      </c>
      <c r="V60" s="10"/>
      <c r="W60" s="10"/>
      <c r="X60" s="7" t="str">
        <f t="shared" si="4"/>
        <v/>
      </c>
    </row>
    <row r="61" spans="1:24">
      <c r="A61" s="7">
        <v>60</v>
      </c>
      <c r="B61" s="10"/>
      <c r="C61" s="10"/>
      <c r="D61" s="10"/>
      <c r="E61" s="10"/>
      <c r="F61" s="10"/>
      <c r="G61" s="11"/>
      <c r="H61" s="11"/>
      <c r="I61" s="11"/>
      <c r="J61" s="12" t="str">
        <f>IF(B61="","",MAX(I61,_xlfn.MAXIFS(التمديدات!$C$2:$C$301,التمديدات!$A$2:$A$301,B61)))</f>
        <v/>
      </c>
      <c r="K61" s="7" t="str">
        <f t="shared" si="0"/>
        <v/>
      </c>
      <c r="L61" s="26"/>
      <c r="M61" s="27"/>
      <c r="N61" s="10"/>
      <c r="O61" s="10"/>
      <c r="P61" s="10"/>
      <c r="Q61" s="10"/>
      <c r="R61" s="7" t="str">
        <f ca="1">IF(B61="","",IF(Q61&lt;&gt;"",Q61,IF(H61&gt;TODAY(),"لم يبدأ بعد",IF(J61&lt;TODAY(),"منتهٍ",IF(J61-TODAY()&lt;='القوائم والإعدادات'!$E$2,"قريب الانتهاء","ساري")))))</f>
        <v/>
      </c>
      <c r="S61" s="7" t="str">
        <f t="shared" ca="1" si="3"/>
        <v/>
      </c>
      <c r="T61" s="7" t="str">
        <f ca="1">IF(OR(R61="ساري",R61="قريب الانتهاء"),IF(S61&lt;='القوائم والإعدادات'!$E$4,"عاجل",IF(S61&lt;='القوائم والإعدادات'!$E$3,"خلال 60 يوم",IF(S61&lt;='القوائم والإعدادات'!$E$2,"خلال 90 يوم",""))),"")</f>
        <v/>
      </c>
      <c r="U61" s="7" t="str">
        <f>IF(B61="","",COUNTIF(التمديدات!$A$2:$A$301,B61))</f>
        <v/>
      </c>
      <c r="V61" s="10"/>
      <c r="W61" s="10"/>
      <c r="X61" s="7" t="str">
        <f t="shared" si="4"/>
        <v/>
      </c>
    </row>
    <row r="62" spans="1:24">
      <c r="A62" s="7">
        <v>61</v>
      </c>
      <c r="B62" s="10"/>
      <c r="C62" s="10"/>
      <c r="D62" s="10"/>
      <c r="E62" s="10"/>
      <c r="F62" s="10"/>
      <c r="G62" s="11"/>
      <c r="H62" s="11"/>
      <c r="I62" s="11"/>
      <c r="J62" s="12" t="str">
        <f>IF(B62="","",MAX(I62,_xlfn.MAXIFS(التمديدات!$C$2:$C$301,التمديدات!$A$2:$A$301,B62)))</f>
        <v/>
      </c>
      <c r="K62" s="7" t="str">
        <f t="shared" si="0"/>
        <v/>
      </c>
      <c r="L62" s="26"/>
      <c r="M62" s="27"/>
      <c r="N62" s="10"/>
      <c r="O62" s="10"/>
      <c r="P62" s="10"/>
      <c r="Q62" s="10"/>
      <c r="R62" s="7" t="str">
        <f ca="1">IF(B62="","",IF(Q62&lt;&gt;"",Q62,IF(H62&gt;TODAY(),"لم يبدأ بعد",IF(J62&lt;TODAY(),"منتهٍ",IF(J62-TODAY()&lt;='القوائم والإعدادات'!$E$2,"قريب الانتهاء","ساري")))))</f>
        <v/>
      </c>
      <c r="S62" s="7" t="str">
        <f t="shared" ca="1" si="3"/>
        <v/>
      </c>
      <c r="T62" s="7" t="str">
        <f ca="1">IF(OR(R62="ساري",R62="قريب الانتهاء"),IF(S62&lt;='القوائم والإعدادات'!$E$4,"عاجل",IF(S62&lt;='القوائم والإعدادات'!$E$3,"خلال 60 يوم",IF(S62&lt;='القوائم والإعدادات'!$E$2,"خلال 90 يوم",""))),"")</f>
        <v/>
      </c>
      <c r="U62" s="7" t="str">
        <f>IF(B62="","",COUNTIF(التمديدات!$A$2:$A$301,B62))</f>
        <v/>
      </c>
      <c r="V62" s="10"/>
      <c r="W62" s="10"/>
      <c r="X62" s="7" t="str">
        <f t="shared" si="4"/>
        <v/>
      </c>
    </row>
    <row r="63" spans="1:24">
      <c r="A63" s="7">
        <v>62</v>
      </c>
      <c r="B63" s="10"/>
      <c r="C63" s="10"/>
      <c r="D63" s="10"/>
      <c r="E63" s="10"/>
      <c r="F63" s="10"/>
      <c r="G63" s="11"/>
      <c r="H63" s="11"/>
      <c r="I63" s="11"/>
      <c r="J63" s="12" t="str">
        <f>IF(B63="","",MAX(I63,_xlfn.MAXIFS(التمديدات!$C$2:$C$301,التمديدات!$A$2:$A$301,B63)))</f>
        <v/>
      </c>
      <c r="K63" s="7" t="str">
        <f t="shared" si="0"/>
        <v/>
      </c>
      <c r="L63" s="26"/>
      <c r="M63" s="27"/>
      <c r="N63" s="10"/>
      <c r="O63" s="10"/>
      <c r="P63" s="10"/>
      <c r="Q63" s="10"/>
      <c r="R63" s="7" t="str">
        <f ca="1">IF(B63="","",IF(Q63&lt;&gt;"",Q63,IF(H63&gt;TODAY(),"لم يبدأ بعد",IF(J63&lt;TODAY(),"منتهٍ",IF(J63-TODAY()&lt;='القوائم والإعدادات'!$E$2,"قريب الانتهاء","ساري")))))</f>
        <v/>
      </c>
      <c r="S63" s="7" t="str">
        <f t="shared" ca="1" si="3"/>
        <v/>
      </c>
      <c r="T63" s="7" t="str">
        <f ca="1">IF(OR(R63="ساري",R63="قريب الانتهاء"),IF(S63&lt;='القوائم والإعدادات'!$E$4,"عاجل",IF(S63&lt;='القوائم والإعدادات'!$E$3,"خلال 60 يوم",IF(S63&lt;='القوائم والإعدادات'!$E$2,"خلال 90 يوم",""))),"")</f>
        <v/>
      </c>
      <c r="U63" s="7" t="str">
        <f>IF(B63="","",COUNTIF(التمديدات!$A$2:$A$301,B63))</f>
        <v/>
      </c>
      <c r="V63" s="10"/>
      <c r="W63" s="10"/>
      <c r="X63" s="7" t="str">
        <f t="shared" si="4"/>
        <v/>
      </c>
    </row>
    <row r="64" spans="1:24">
      <c r="A64" s="7">
        <v>63</v>
      </c>
      <c r="B64" s="10"/>
      <c r="C64" s="10"/>
      <c r="D64" s="10"/>
      <c r="E64" s="10"/>
      <c r="F64" s="10"/>
      <c r="G64" s="11"/>
      <c r="H64" s="11"/>
      <c r="I64" s="11"/>
      <c r="J64" s="12" t="str">
        <f>IF(B64="","",MAX(I64,_xlfn.MAXIFS(التمديدات!$C$2:$C$301,التمديدات!$A$2:$A$301,B64)))</f>
        <v/>
      </c>
      <c r="K64" s="7" t="str">
        <f t="shared" si="0"/>
        <v/>
      </c>
      <c r="L64" s="26"/>
      <c r="M64" s="27"/>
      <c r="N64" s="10"/>
      <c r="O64" s="10"/>
      <c r="P64" s="10"/>
      <c r="Q64" s="10"/>
      <c r="R64" s="7" t="str">
        <f ca="1">IF(B64="","",IF(Q64&lt;&gt;"",Q64,IF(H64&gt;TODAY(),"لم يبدأ بعد",IF(J64&lt;TODAY(),"منتهٍ",IF(J64-TODAY()&lt;='القوائم والإعدادات'!$E$2,"قريب الانتهاء","ساري")))))</f>
        <v/>
      </c>
      <c r="S64" s="7" t="str">
        <f t="shared" ca="1" si="3"/>
        <v/>
      </c>
      <c r="T64" s="7" t="str">
        <f ca="1">IF(OR(R64="ساري",R64="قريب الانتهاء"),IF(S64&lt;='القوائم والإعدادات'!$E$4,"عاجل",IF(S64&lt;='القوائم والإعدادات'!$E$3,"خلال 60 يوم",IF(S64&lt;='القوائم والإعدادات'!$E$2,"خلال 90 يوم",""))),"")</f>
        <v/>
      </c>
      <c r="U64" s="7" t="str">
        <f>IF(B64="","",COUNTIF(التمديدات!$A$2:$A$301,B64))</f>
        <v/>
      </c>
      <c r="V64" s="10"/>
      <c r="W64" s="10"/>
      <c r="X64" s="7" t="str">
        <f t="shared" si="4"/>
        <v/>
      </c>
    </row>
    <row r="65" spans="1:24">
      <c r="A65" s="7">
        <v>64</v>
      </c>
      <c r="B65" s="10"/>
      <c r="C65" s="10"/>
      <c r="D65" s="10"/>
      <c r="E65" s="10"/>
      <c r="F65" s="10"/>
      <c r="G65" s="11"/>
      <c r="H65" s="11"/>
      <c r="I65" s="11"/>
      <c r="J65" s="12" t="str">
        <f>IF(B65="","",MAX(I65,_xlfn.MAXIFS(التمديدات!$C$2:$C$301,التمديدات!$A$2:$A$301,B65)))</f>
        <v/>
      </c>
      <c r="K65" s="7" t="str">
        <f t="shared" si="0"/>
        <v/>
      </c>
      <c r="L65" s="26"/>
      <c r="M65" s="27"/>
      <c r="N65" s="10"/>
      <c r="O65" s="10"/>
      <c r="P65" s="10"/>
      <c r="Q65" s="10"/>
      <c r="R65" s="7" t="str">
        <f ca="1">IF(B65="","",IF(Q65&lt;&gt;"",Q65,IF(H65&gt;TODAY(),"لم يبدأ بعد",IF(J65&lt;TODAY(),"منتهٍ",IF(J65-TODAY()&lt;='القوائم والإعدادات'!$E$2,"قريب الانتهاء","ساري")))))</f>
        <v/>
      </c>
      <c r="S65" s="7" t="str">
        <f t="shared" ca="1" si="3"/>
        <v/>
      </c>
      <c r="T65" s="7" t="str">
        <f ca="1">IF(OR(R65="ساري",R65="قريب الانتهاء"),IF(S65&lt;='القوائم والإعدادات'!$E$4,"عاجل",IF(S65&lt;='القوائم والإعدادات'!$E$3,"خلال 60 يوم",IF(S65&lt;='القوائم والإعدادات'!$E$2,"خلال 90 يوم",""))),"")</f>
        <v/>
      </c>
      <c r="U65" s="7" t="str">
        <f>IF(B65="","",COUNTIF(التمديدات!$A$2:$A$301,B65))</f>
        <v/>
      </c>
      <c r="V65" s="10"/>
      <c r="W65" s="10"/>
      <c r="X65" s="7" t="str">
        <f t="shared" si="4"/>
        <v/>
      </c>
    </row>
    <row r="66" spans="1:24">
      <c r="A66" s="7">
        <v>65</v>
      </c>
      <c r="B66" s="10"/>
      <c r="C66" s="10"/>
      <c r="D66" s="10"/>
      <c r="E66" s="10"/>
      <c r="F66" s="10"/>
      <c r="G66" s="11"/>
      <c r="H66" s="11"/>
      <c r="I66" s="11"/>
      <c r="J66" s="12" t="str">
        <f>IF(B66="","",MAX(I66,_xlfn.MAXIFS(التمديدات!$C$2:$C$301,التمديدات!$A$2:$A$301,B66)))</f>
        <v/>
      </c>
      <c r="K66" s="7" t="str">
        <f t="shared" ref="K66:K129" si="5">IF(OR(H66="",I66=""),"",ROUND((I66-H66)/30.4,0))</f>
        <v/>
      </c>
      <c r="L66" s="26"/>
      <c r="M66" s="27"/>
      <c r="N66" s="10"/>
      <c r="O66" s="10"/>
      <c r="P66" s="10"/>
      <c r="Q66" s="10"/>
      <c r="R66" s="7" t="str">
        <f ca="1">IF(B66="","",IF(Q66&lt;&gt;"",Q66,IF(H66&gt;TODAY(),"لم يبدأ بعد",IF(J66&lt;TODAY(),"منتهٍ",IF(J66-TODAY()&lt;='القوائم والإعدادات'!$E$2,"قريب الانتهاء","ساري")))))</f>
        <v/>
      </c>
      <c r="S66" s="7" t="str">
        <f t="shared" ca="1" si="3"/>
        <v/>
      </c>
      <c r="T66" s="7" t="str">
        <f ca="1">IF(OR(R66="ساري",R66="قريب الانتهاء"),IF(S66&lt;='القوائم والإعدادات'!$E$4,"عاجل",IF(S66&lt;='القوائم والإعدادات'!$E$3,"خلال 60 يوم",IF(S66&lt;='القوائم والإعدادات'!$E$2,"خلال 90 يوم",""))),"")</f>
        <v/>
      </c>
      <c r="U66" s="7" t="str">
        <f>IF(B66="","",COUNTIF(التمديدات!$A$2:$A$301,B66))</f>
        <v/>
      </c>
      <c r="V66" s="10"/>
      <c r="W66" s="10"/>
      <c r="X66" s="7" t="str">
        <f t="shared" si="4"/>
        <v/>
      </c>
    </row>
    <row r="67" spans="1:24">
      <c r="A67" s="7">
        <v>66</v>
      </c>
      <c r="B67" s="10"/>
      <c r="C67" s="10"/>
      <c r="D67" s="10"/>
      <c r="E67" s="10"/>
      <c r="F67" s="10"/>
      <c r="G67" s="11"/>
      <c r="H67" s="11"/>
      <c r="I67" s="11"/>
      <c r="J67" s="12" t="str">
        <f>IF(B67="","",MAX(I67,_xlfn.MAXIFS(التمديدات!$C$2:$C$301,التمديدات!$A$2:$A$301,B67)))</f>
        <v/>
      </c>
      <c r="K67" s="7" t="str">
        <f t="shared" si="5"/>
        <v/>
      </c>
      <c r="L67" s="26"/>
      <c r="M67" s="27"/>
      <c r="N67" s="10"/>
      <c r="O67" s="10"/>
      <c r="P67" s="10"/>
      <c r="Q67" s="10"/>
      <c r="R67" s="7" t="str">
        <f ca="1">IF(B67="","",IF(Q67&lt;&gt;"",Q67,IF(H67&gt;TODAY(),"لم يبدأ بعد",IF(J67&lt;TODAY(),"منتهٍ",IF(J67-TODAY()&lt;='القوائم والإعدادات'!$E$2,"قريب الانتهاء","ساري")))))</f>
        <v/>
      </c>
      <c r="S67" s="7" t="str">
        <f t="shared" ca="1" si="3"/>
        <v/>
      </c>
      <c r="T67" s="7" t="str">
        <f ca="1">IF(OR(R67="ساري",R67="قريب الانتهاء"),IF(S67&lt;='القوائم والإعدادات'!$E$4,"عاجل",IF(S67&lt;='القوائم والإعدادات'!$E$3,"خلال 60 يوم",IF(S67&lt;='القوائم والإعدادات'!$E$2,"خلال 90 يوم",""))),"")</f>
        <v/>
      </c>
      <c r="U67" s="7" t="str">
        <f>IF(B67="","",COUNTIF(التمديدات!$A$2:$A$301,B67))</f>
        <v/>
      </c>
      <c r="V67" s="10"/>
      <c r="W67" s="10"/>
      <c r="X67" s="7" t="str">
        <f t="shared" si="4"/>
        <v/>
      </c>
    </row>
    <row r="68" spans="1:24">
      <c r="A68" s="7">
        <v>67</v>
      </c>
      <c r="B68" s="10"/>
      <c r="C68" s="10"/>
      <c r="D68" s="10"/>
      <c r="E68" s="10"/>
      <c r="F68" s="10"/>
      <c r="G68" s="11"/>
      <c r="H68" s="11"/>
      <c r="I68" s="11"/>
      <c r="J68" s="12" t="str">
        <f>IF(B68="","",MAX(I68,_xlfn.MAXIFS(التمديدات!$C$2:$C$301,التمديدات!$A$2:$A$301,B68)))</f>
        <v/>
      </c>
      <c r="K68" s="7" t="str">
        <f t="shared" si="5"/>
        <v/>
      </c>
      <c r="L68" s="26"/>
      <c r="M68" s="27"/>
      <c r="N68" s="10"/>
      <c r="O68" s="10"/>
      <c r="P68" s="10"/>
      <c r="Q68" s="10"/>
      <c r="R68" s="7" t="str">
        <f ca="1">IF(B68="","",IF(Q68&lt;&gt;"",Q68,IF(H68&gt;TODAY(),"لم يبدأ بعد",IF(J68&lt;TODAY(),"منتهٍ",IF(J68-TODAY()&lt;='القوائم والإعدادات'!$E$2,"قريب الانتهاء","ساري")))))</f>
        <v/>
      </c>
      <c r="S68" s="7" t="str">
        <f t="shared" ca="1" si="3"/>
        <v/>
      </c>
      <c r="T68" s="7" t="str">
        <f ca="1">IF(OR(R68="ساري",R68="قريب الانتهاء"),IF(S68&lt;='القوائم والإعدادات'!$E$4,"عاجل",IF(S68&lt;='القوائم والإعدادات'!$E$3,"خلال 60 يوم",IF(S68&lt;='القوائم والإعدادات'!$E$2,"خلال 90 يوم",""))),"")</f>
        <v/>
      </c>
      <c r="U68" s="7" t="str">
        <f>IF(B68="","",COUNTIF(التمديدات!$A$2:$A$301,B68))</f>
        <v/>
      </c>
      <c r="V68" s="10"/>
      <c r="W68" s="10"/>
      <c r="X68" s="7" t="str">
        <f t="shared" si="4"/>
        <v/>
      </c>
    </row>
    <row r="69" spans="1:24">
      <c r="A69" s="7">
        <v>68</v>
      </c>
      <c r="B69" s="10"/>
      <c r="C69" s="10"/>
      <c r="D69" s="10"/>
      <c r="E69" s="10"/>
      <c r="F69" s="10"/>
      <c r="G69" s="11"/>
      <c r="H69" s="11"/>
      <c r="I69" s="11"/>
      <c r="J69" s="12" t="str">
        <f>IF(B69="","",MAX(I69,_xlfn.MAXIFS(التمديدات!$C$2:$C$301,التمديدات!$A$2:$A$301,B69)))</f>
        <v/>
      </c>
      <c r="K69" s="7" t="str">
        <f t="shared" si="5"/>
        <v/>
      </c>
      <c r="L69" s="26"/>
      <c r="M69" s="27"/>
      <c r="N69" s="10"/>
      <c r="O69" s="10"/>
      <c r="P69" s="10"/>
      <c r="Q69" s="10"/>
      <c r="R69" s="7" t="str">
        <f ca="1">IF(B69="","",IF(Q69&lt;&gt;"",Q69,IF(H69&gt;TODAY(),"لم يبدأ بعد",IF(J69&lt;TODAY(),"منتهٍ",IF(J69-TODAY()&lt;='القوائم والإعدادات'!$E$2,"قريب الانتهاء","ساري")))))</f>
        <v/>
      </c>
      <c r="S69" s="7" t="str">
        <f t="shared" ca="1" si="3"/>
        <v/>
      </c>
      <c r="T69" s="7" t="str">
        <f ca="1">IF(OR(R69="ساري",R69="قريب الانتهاء"),IF(S69&lt;='القوائم والإعدادات'!$E$4,"عاجل",IF(S69&lt;='القوائم والإعدادات'!$E$3,"خلال 60 يوم",IF(S69&lt;='القوائم والإعدادات'!$E$2,"خلال 90 يوم",""))),"")</f>
        <v/>
      </c>
      <c r="U69" s="7" t="str">
        <f>IF(B69="","",COUNTIF(التمديدات!$A$2:$A$301,B69))</f>
        <v/>
      </c>
      <c r="V69" s="10"/>
      <c r="W69" s="10"/>
      <c r="X69" s="7" t="str">
        <f t="shared" si="4"/>
        <v/>
      </c>
    </row>
    <row r="70" spans="1:24">
      <c r="A70" s="7">
        <v>69</v>
      </c>
      <c r="B70" s="10"/>
      <c r="C70" s="10"/>
      <c r="D70" s="10"/>
      <c r="E70" s="10"/>
      <c r="F70" s="10"/>
      <c r="G70" s="11"/>
      <c r="H70" s="11"/>
      <c r="I70" s="11"/>
      <c r="J70" s="12" t="str">
        <f>IF(B70="","",MAX(I70,_xlfn.MAXIFS(التمديدات!$C$2:$C$301,التمديدات!$A$2:$A$301,B70)))</f>
        <v/>
      </c>
      <c r="K70" s="7" t="str">
        <f t="shared" si="5"/>
        <v/>
      </c>
      <c r="L70" s="26"/>
      <c r="M70" s="27"/>
      <c r="N70" s="10"/>
      <c r="O70" s="10"/>
      <c r="P70" s="10"/>
      <c r="Q70" s="10"/>
      <c r="R70" s="7" t="str">
        <f ca="1">IF(B70="","",IF(Q70&lt;&gt;"",Q70,IF(H70&gt;TODAY(),"لم يبدأ بعد",IF(J70&lt;TODAY(),"منتهٍ",IF(J70-TODAY()&lt;='القوائم والإعدادات'!$E$2,"قريب الانتهاء","ساري")))))</f>
        <v/>
      </c>
      <c r="S70" s="7" t="str">
        <f t="shared" ca="1" si="3"/>
        <v/>
      </c>
      <c r="T70" s="7" t="str">
        <f ca="1">IF(OR(R70="ساري",R70="قريب الانتهاء"),IF(S70&lt;='القوائم والإعدادات'!$E$4,"عاجل",IF(S70&lt;='القوائم والإعدادات'!$E$3,"خلال 60 يوم",IF(S70&lt;='القوائم والإعدادات'!$E$2,"خلال 90 يوم",""))),"")</f>
        <v/>
      </c>
      <c r="U70" s="7" t="str">
        <f>IF(B70="","",COUNTIF(التمديدات!$A$2:$A$301,B70))</f>
        <v/>
      </c>
      <c r="V70" s="10"/>
      <c r="W70" s="10"/>
      <c r="X70" s="7" t="str">
        <f t="shared" si="4"/>
        <v/>
      </c>
    </row>
    <row r="71" spans="1:24">
      <c r="A71" s="7">
        <v>70</v>
      </c>
      <c r="B71" s="10"/>
      <c r="C71" s="10"/>
      <c r="D71" s="10"/>
      <c r="E71" s="10"/>
      <c r="F71" s="10"/>
      <c r="G71" s="11"/>
      <c r="H71" s="11"/>
      <c r="I71" s="11"/>
      <c r="J71" s="12" t="str">
        <f>IF(B71="","",MAX(I71,_xlfn.MAXIFS(التمديدات!$C$2:$C$301,التمديدات!$A$2:$A$301,B71)))</f>
        <v/>
      </c>
      <c r="K71" s="7" t="str">
        <f t="shared" si="5"/>
        <v/>
      </c>
      <c r="L71" s="26"/>
      <c r="M71" s="27"/>
      <c r="N71" s="10"/>
      <c r="O71" s="10"/>
      <c r="P71" s="10"/>
      <c r="Q71" s="10"/>
      <c r="R71" s="7" t="str">
        <f ca="1">IF(B71="","",IF(Q71&lt;&gt;"",Q71,IF(H71&gt;TODAY(),"لم يبدأ بعد",IF(J71&lt;TODAY(),"منتهٍ",IF(J71-TODAY()&lt;='القوائم والإعدادات'!$E$2,"قريب الانتهاء","ساري")))))</f>
        <v/>
      </c>
      <c r="S71" s="7" t="str">
        <f t="shared" ca="1" si="3"/>
        <v/>
      </c>
      <c r="T71" s="7" t="str">
        <f ca="1">IF(OR(R71="ساري",R71="قريب الانتهاء"),IF(S71&lt;='القوائم والإعدادات'!$E$4,"عاجل",IF(S71&lt;='القوائم والإعدادات'!$E$3,"خلال 60 يوم",IF(S71&lt;='القوائم والإعدادات'!$E$2,"خلال 90 يوم",""))),"")</f>
        <v/>
      </c>
      <c r="U71" s="7" t="str">
        <f>IF(B71="","",COUNTIF(التمديدات!$A$2:$A$301,B71))</f>
        <v/>
      </c>
      <c r="V71" s="10"/>
      <c r="W71" s="10"/>
      <c r="X71" s="7" t="str">
        <f t="shared" si="4"/>
        <v/>
      </c>
    </row>
    <row r="72" spans="1:24">
      <c r="A72" s="7">
        <v>71</v>
      </c>
      <c r="B72" s="10"/>
      <c r="C72" s="10"/>
      <c r="D72" s="10"/>
      <c r="E72" s="10"/>
      <c r="F72" s="10"/>
      <c r="G72" s="11"/>
      <c r="H72" s="11"/>
      <c r="I72" s="11"/>
      <c r="J72" s="12" t="str">
        <f>IF(B72="","",MAX(I72,_xlfn.MAXIFS(التمديدات!$C$2:$C$301,التمديدات!$A$2:$A$301,B72)))</f>
        <v/>
      </c>
      <c r="K72" s="7" t="str">
        <f t="shared" si="5"/>
        <v/>
      </c>
      <c r="L72" s="26"/>
      <c r="M72" s="27"/>
      <c r="N72" s="10"/>
      <c r="O72" s="10"/>
      <c r="P72" s="10"/>
      <c r="Q72" s="10"/>
      <c r="R72" s="7" t="str">
        <f ca="1">IF(B72="","",IF(Q72&lt;&gt;"",Q72,IF(H72&gt;TODAY(),"لم يبدأ بعد",IF(J72&lt;TODAY(),"منتهٍ",IF(J72-TODAY()&lt;='القوائم والإعدادات'!$E$2,"قريب الانتهاء","ساري")))))</f>
        <v/>
      </c>
      <c r="S72" s="7" t="str">
        <f t="shared" ca="1" si="3"/>
        <v/>
      </c>
      <c r="T72" s="7" t="str">
        <f ca="1">IF(OR(R72="ساري",R72="قريب الانتهاء"),IF(S72&lt;='القوائم والإعدادات'!$E$4,"عاجل",IF(S72&lt;='القوائم والإعدادات'!$E$3,"خلال 60 يوم",IF(S72&lt;='القوائم والإعدادات'!$E$2,"خلال 90 يوم",""))),"")</f>
        <v/>
      </c>
      <c r="U72" s="7" t="str">
        <f>IF(B72="","",COUNTIF(التمديدات!$A$2:$A$301,B72))</f>
        <v/>
      </c>
      <c r="V72" s="10"/>
      <c r="W72" s="10"/>
      <c r="X72" s="7" t="str">
        <f t="shared" si="4"/>
        <v/>
      </c>
    </row>
    <row r="73" spans="1:24">
      <c r="A73" s="7">
        <v>72</v>
      </c>
      <c r="B73" s="10"/>
      <c r="C73" s="10"/>
      <c r="D73" s="10"/>
      <c r="E73" s="10"/>
      <c r="F73" s="10"/>
      <c r="G73" s="11"/>
      <c r="H73" s="11"/>
      <c r="I73" s="11"/>
      <c r="J73" s="12" t="str">
        <f>IF(B73="","",MAX(I73,_xlfn.MAXIFS(التمديدات!$C$2:$C$301,التمديدات!$A$2:$A$301,B73)))</f>
        <v/>
      </c>
      <c r="K73" s="7" t="str">
        <f t="shared" si="5"/>
        <v/>
      </c>
      <c r="L73" s="26"/>
      <c r="M73" s="27"/>
      <c r="N73" s="10"/>
      <c r="O73" s="10"/>
      <c r="P73" s="10"/>
      <c r="Q73" s="10"/>
      <c r="R73" s="7" t="str">
        <f ca="1">IF(B73="","",IF(Q73&lt;&gt;"",Q73,IF(H73&gt;TODAY(),"لم يبدأ بعد",IF(J73&lt;TODAY(),"منتهٍ",IF(J73-TODAY()&lt;='القوائم والإعدادات'!$E$2,"قريب الانتهاء","ساري")))))</f>
        <v/>
      </c>
      <c r="S73" s="7" t="str">
        <f t="shared" ca="1" si="3"/>
        <v/>
      </c>
      <c r="T73" s="7" t="str">
        <f ca="1">IF(OR(R73="ساري",R73="قريب الانتهاء"),IF(S73&lt;='القوائم والإعدادات'!$E$4,"عاجل",IF(S73&lt;='القوائم والإعدادات'!$E$3,"خلال 60 يوم",IF(S73&lt;='القوائم والإعدادات'!$E$2,"خلال 90 يوم",""))),"")</f>
        <v/>
      </c>
      <c r="U73" s="7" t="str">
        <f>IF(B73="","",COUNTIF(التمديدات!$A$2:$A$301,B73))</f>
        <v/>
      </c>
      <c r="V73" s="10"/>
      <c r="W73" s="10"/>
      <c r="X73" s="7" t="str">
        <f t="shared" si="4"/>
        <v/>
      </c>
    </row>
    <row r="74" spans="1:24">
      <c r="A74" s="7">
        <v>73</v>
      </c>
      <c r="B74" s="10"/>
      <c r="C74" s="10"/>
      <c r="D74" s="10"/>
      <c r="E74" s="10"/>
      <c r="F74" s="10"/>
      <c r="G74" s="11"/>
      <c r="H74" s="11"/>
      <c r="I74" s="11"/>
      <c r="J74" s="12" t="str">
        <f>IF(B74="","",MAX(I74,_xlfn.MAXIFS(التمديدات!$C$2:$C$301,التمديدات!$A$2:$A$301,B74)))</f>
        <v/>
      </c>
      <c r="K74" s="7" t="str">
        <f t="shared" si="5"/>
        <v/>
      </c>
      <c r="L74" s="26"/>
      <c r="M74" s="27"/>
      <c r="N74" s="10"/>
      <c r="O74" s="10"/>
      <c r="P74" s="10"/>
      <c r="Q74" s="10"/>
      <c r="R74" s="7" t="str">
        <f ca="1">IF(B74="","",IF(Q74&lt;&gt;"",Q74,IF(H74&gt;TODAY(),"لم يبدأ بعد",IF(J74&lt;TODAY(),"منتهٍ",IF(J74-TODAY()&lt;='القوائم والإعدادات'!$E$2,"قريب الانتهاء","ساري")))))</f>
        <v/>
      </c>
      <c r="S74" s="7" t="str">
        <f t="shared" ca="1" si="3"/>
        <v/>
      </c>
      <c r="T74" s="7" t="str">
        <f ca="1">IF(OR(R74="ساري",R74="قريب الانتهاء"),IF(S74&lt;='القوائم والإعدادات'!$E$4,"عاجل",IF(S74&lt;='القوائم والإعدادات'!$E$3,"خلال 60 يوم",IF(S74&lt;='القوائم والإعدادات'!$E$2,"خلال 90 يوم",""))),"")</f>
        <v/>
      </c>
      <c r="U74" s="7" t="str">
        <f>IF(B74="","",COUNTIF(التمديدات!$A$2:$A$301,B74))</f>
        <v/>
      </c>
      <c r="V74" s="10"/>
      <c r="W74" s="10"/>
      <c r="X74" s="7" t="str">
        <f t="shared" si="4"/>
        <v/>
      </c>
    </row>
    <row r="75" spans="1:24">
      <c r="A75" s="7">
        <v>74</v>
      </c>
      <c r="B75" s="10"/>
      <c r="C75" s="10"/>
      <c r="D75" s="10"/>
      <c r="E75" s="10"/>
      <c r="F75" s="10"/>
      <c r="G75" s="11"/>
      <c r="H75" s="11"/>
      <c r="I75" s="11"/>
      <c r="J75" s="12" t="str">
        <f>IF(B75="","",MAX(I75,_xlfn.MAXIFS(التمديدات!$C$2:$C$301,التمديدات!$A$2:$A$301,B75)))</f>
        <v/>
      </c>
      <c r="K75" s="7" t="str">
        <f t="shared" si="5"/>
        <v/>
      </c>
      <c r="L75" s="26"/>
      <c r="M75" s="27"/>
      <c r="N75" s="10"/>
      <c r="O75" s="10"/>
      <c r="P75" s="10"/>
      <c r="Q75" s="10"/>
      <c r="R75" s="7" t="str">
        <f ca="1">IF(B75="","",IF(Q75&lt;&gt;"",Q75,IF(H75&gt;TODAY(),"لم يبدأ بعد",IF(J75&lt;TODAY(),"منتهٍ",IF(J75-TODAY()&lt;='القوائم والإعدادات'!$E$2,"قريب الانتهاء","ساري")))))</f>
        <v/>
      </c>
      <c r="S75" s="7" t="str">
        <f t="shared" ca="1" si="3"/>
        <v/>
      </c>
      <c r="T75" s="7" t="str">
        <f ca="1">IF(OR(R75="ساري",R75="قريب الانتهاء"),IF(S75&lt;='القوائم والإعدادات'!$E$4,"عاجل",IF(S75&lt;='القوائم والإعدادات'!$E$3,"خلال 60 يوم",IF(S75&lt;='القوائم والإعدادات'!$E$2,"خلال 90 يوم",""))),"")</f>
        <v/>
      </c>
      <c r="U75" s="7" t="str">
        <f>IF(B75="","",COUNTIF(التمديدات!$A$2:$A$301,B75))</f>
        <v/>
      </c>
      <c r="V75" s="10"/>
      <c r="W75" s="10"/>
      <c r="X75" s="7" t="str">
        <f t="shared" si="4"/>
        <v/>
      </c>
    </row>
    <row r="76" spans="1:24">
      <c r="A76" s="7">
        <v>75</v>
      </c>
      <c r="B76" s="10"/>
      <c r="C76" s="10"/>
      <c r="D76" s="10"/>
      <c r="E76" s="10"/>
      <c r="F76" s="10"/>
      <c r="G76" s="11"/>
      <c r="H76" s="11"/>
      <c r="I76" s="11"/>
      <c r="J76" s="12" t="str">
        <f>IF(B76="","",MAX(I76,_xlfn.MAXIFS(التمديدات!$C$2:$C$301,التمديدات!$A$2:$A$301,B76)))</f>
        <v/>
      </c>
      <c r="K76" s="7" t="str">
        <f t="shared" si="5"/>
        <v/>
      </c>
      <c r="L76" s="26"/>
      <c r="M76" s="27"/>
      <c r="N76" s="10"/>
      <c r="O76" s="10"/>
      <c r="P76" s="10"/>
      <c r="Q76" s="10"/>
      <c r="R76" s="7" t="str">
        <f ca="1">IF(B76="","",IF(Q76&lt;&gt;"",Q76,IF(H76&gt;TODAY(),"لم يبدأ بعد",IF(J76&lt;TODAY(),"منتهٍ",IF(J76-TODAY()&lt;='القوائم والإعدادات'!$E$2,"قريب الانتهاء","ساري")))))</f>
        <v/>
      </c>
      <c r="S76" s="7" t="str">
        <f t="shared" ca="1" si="3"/>
        <v/>
      </c>
      <c r="T76" s="7" t="str">
        <f ca="1">IF(OR(R76="ساري",R76="قريب الانتهاء"),IF(S76&lt;='القوائم والإعدادات'!$E$4,"عاجل",IF(S76&lt;='القوائم والإعدادات'!$E$3,"خلال 60 يوم",IF(S76&lt;='القوائم والإعدادات'!$E$2,"خلال 90 يوم",""))),"")</f>
        <v/>
      </c>
      <c r="U76" s="7" t="str">
        <f>IF(B76="","",COUNTIF(التمديدات!$A$2:$A$301,B76))</f>
        <v/>
      </c>
      <c r="V76" s="10"/>
      <c r="W76" s="10"/>
      <c r="X76" s="7" t="str">
        <f t="shared" si="4"/>
        <v/>
      </c>
    </row>
    <row r="77" spans="1:24">
      <c r="A77" s="7">
        <v>76</v>
      </c>
      <c r="B77" s="10"/>
      <c r="C77" s="10"/>
      <c r="D77" s="10"/>
      <c r="E77" s="10"/>
      <c r="F77" s="10"/>
      <c r="G77" s="11"/>
      <c r="H77" s="11"/>
      <c r="I77" s="11"/>
      <c r="J77" s="12" t="str">
        <f>IF(B77="","",MAX(I77,_xlfn.MAXIFS(التمديدات!$C$2:$C$301,التمديدات!$A$2:$A$301,B77)))</f>
        <v/>
      </c>
      <c r="K77" s="7" t="str">
        <f t="shared" si="5"/>
        <v/>
      </c>
      <c r="L77" s="26"/>
      <c r="M77" s="27"/>
      <c r="N77" s="10"/>
      <c r="O77" s="10"/>
      <c r="P77" s="10"/>
      <c r="Q77" s="10"/>
      <c r="R77" s="7" t="str">
        <f ca="1">IF(B77="","",IF(Q77&lt;&gt;"",Q77,IF(H77&gt;TODAY(),"لم يبدأ بعد",IF(J77&lt;TODAY(),"منتهٍ",IF(J77-TODAY()&lt;='القوائم والإعدادات'!$E$2,"قريب الانتهاء","ساري")))))</f>
        <v/>
      </c>
      <c r="S77" s="7" t="str">
        <f t="shared" ca="1" si="3"/>
        <v/>
      </c>
      <c r="T77" s="7" t="str">
        <f ca="1">IF(OR(R77="ساري",R77="قريب الانتهاء"),IF(S77&lt;='القوائم والإعدادات'!$E$4,"عاجل",IF(S77&lt;='القوائم والإعدادات'!$E$3,"خلال 60 يوم",IF(S77&lt;='القوائم والإعدادات'!$E$2,"خلال 90 يوم",""))),"")</f>
        <v/>
      </c>
      <c r="U77" s="7" t="str">
        <f>IF(B77="","",COUNTIF(التمديدات!$A$2:$A$301,B77))</f>
        <v/>
      </c>
      <c r="V77" s="10"/>
      <c r="W77" s="10"/>
      <c r="X77" s="7" t="str">
        <f t="shared" si="4"/>
        <v/>
      </c>
    </row>
    <row r="78" spans="1:24">
      <c r="A78" s="7">
        <v>77</v>
      </c>
      <c r="B78" s="10"/>
      <c r="C78" s="10"/>
      <c r="D78" s="10"/>
      <c r="E78" s="10"/>
      <c r="F78" s="10"/>
      <c r="G78" s="11"/>
      <c r="H78" s="11"/>
      <c r="I78" s="11"/>
      <c r="J78" s="12" t="str">
        <f>IF(B78="","",MAX(I78,_xlfn.MAXIFS(التمديدات!$C$2:$C$301,التمديدات!$A$2:$A$301,B78)))</f>
        <v/>
      </c>
      <c r="K78" s="7" t="str">
        <f t="shared" si="5"/>
        <v/>
      </c>
      <c r="L78" s="26"/>
      <c r="M78" s="27"/>
      <c r="N78" s="10"/>
      <c r="O78" s="10"/>
      <c r="P78" s="10"/>
      <c r="Q78" s="10"/>
      <c r="R78" s="7" t="str">
        <f ca="1">IF(B78="","",IF(Q78&lt;&gt;"",Q78,IF(H78&gt;TODAY(),"لم يبدأ بعد",IF(J78&lt;TODAY(),"منتهٍ",IF(J78-TODAY()&lt;='القوائم والإعدادات'!$E$2,"قريب الانتهاء","ساري")))))</f>
        <v/>
      </c>
      <c r="S78" s="7" t="str">
        <f t="shared" ca="1" si="3"/>
        <v/>
      </c>
      <c r="T78" s="7" t="str">
        <f ca="1">IF(OR(R78="ساري",R78="قريب الانتهاء"),IF(S78&lt;='القوائم والإعدادات'!$E$4,"عاجل",IF(S78&lt;='القوائم والإعدادات'!$E$3,"خلال 60 يوم",IF(S78&lt;='القوائم والإعدادات'!$E$2,"خلال 90 يوم",""))),"")</f>
        <v/>
      </c>
      <c r="U78" s="7" t="str">
        <f>IF(B78="","",COUNTIF(التمديدات!$A$2:$A$301,B78))</f>
        <v/>
      </c>
      <c r="V78" s="10"/>
      <c r="W78" s="10"/>
      <c r="X78" s="7" t="str">
        <f t="shared" si="4"/>
        <v/>
      </c>
    </row>
    <row r="79" spans="1:24">
      <c r="A79" s="7">
        <v>78</v>
      </c>
      <c r="B79" s="10"/>
      <c r="C79" s="10"/>
      <c r="D79" s="10"/>
      <c r="E79" s="10"/>
      <c r="F79" s="10"/>
      <c r="G79" s="11"/>
      <c r="H79" s="11"/>
      <c r="I79" s="11"/>
      <c r="J79" s="12" t="str">
        <f>IF(B79="","",MAX(I79,_xlfn.MAXIFS(التمديدات!$C$2:$C$301,التمديدات!$A$2:$A$301,B79)))</f>
        <v/>
      </c>
      <c r="K79" s="7" t="str">
        <f t="shared" si="5"/>
        <v/>
      </c>
      <c r="L79" s="26"/>
      <c r="M79" s="27"/>
      <c r="N79" s="10"/>
      <c r="O79" s="10"/>
      <c r="P79" s="10"/>
      <c r="Q79" s="10"/>
      <c r="R79" s="7" t="str">
        <f ca="1">IF(B79="","",IF(Q79&lt;&gt;"",Q79,IF(H79&gt;TODAY(),"لم يبدأ بعد",IF(J79&lt;TODAY(),"منتهٍ",IF(J79-TODAY()&lt;='القوائم والإعدادات'!$E$2,"قريب الانتهاء","ساري")))))</f>
        <v/>
      </c>
      <c r="S79" s="7" t="str">
        <f t="shared" ca="1" si="3"/>
        <v/>
      </c>
      <c r="T79" s="7" t="str">
        <f ca="1">IF(OR(R79="ساري",R79="قريب الانتهاء"),IF(S79&lt;='القوائم والإعدادات'!$E$4,"عاجل",IF(S79&lt;='القوائم والإعدادات'!$E$3,"خلال 60 يوم",IF(S79&lt;='القوائم والإعدادات'!$E$2,"خلال 90 يوم",""))),"")</f>
        <v/>
      </c>
      <c r="U79" s="7" t="str">
        <f>IF(B79="","",COUNTIF(التمديدات!$A$2:$A$301,B79))</f>
        <v/>
      </c>
      <c r="V79" s="10"/>
      <c r="W79" s="10"/>
      <c r="X79" s="7" t="str">
        <f t="shared" si="4"/>
        <v/>
      </c>
    </row>
    <row r="80" spans="1:24">
      <c r="A80" s="7">
        <v>79</v>
      </c>
      <c r="B80" s="10"/>
      <c r="C80" s="10"/>
      <c r="D80" s="10"/>
      <c r="E80" s="10"/>
      <c r="F80" s="10"/>
      <c r="G80" s="11"/>
      <c r="H80" s="11"/>
      <c r="I80" s="11"/>
      <c r="J80" s="12" t="str">
        <f>IF(B80="","",MAX(I80,_xlfn.MAXIFS(التمديدات!$C$2:$C$301,التمديدات!$A$2:$A$301,B80)))</f>
        <v/>
      </c>
      <c r="K80" s="7" t="str">
        <f t="shared" si="5"/>
        <v/>
      </c>
      <c r="L80" s="26"/>
      <c r="M80" s="27"/>
      <c r="N80" s="10"/>
      <c r="O80" s="10"/>
      <c r="P80" s="10"/>
      <c r="Q80" s="10"/>
      <c r="R80" s="7" t="str">
        <f ca="1">IF(B80="","",IF(Q80&lt;&gt;"",Q80,IF(H80&gt;TODAY(),"لم يبدأ بعد",IF(J80&lt;TODAY(),"منتهٍ",IF(J80-TODAY()&lt;='القوائم والإعدادات'!$E$2,"قريب الانتهاء","ساري")))))</f>
        <v/>
      </c>
      <c r="S80" s="7" t="str">
        <f t="shared" ca="1" si="3"/>
        <v/>
      </c>
      <c r="T80" s="7" t="str">
        <f ca="1">IF(OR(R80="ساري",R80="قريب الانتهاء"),IF(S80&lt;='القوائم والإعدادات'!$E$4,"عاجل",IF(S80&lt;='القوائم والإعدادات'!$E$3,"خلال 60 يوم",IF(S80&lt;='القوائم والإعدادات'!$E$2,"خلال 90 يوم",""))),"")</f>
        <v/>
      </c>
      <c r="U80" s="7" t="str">
        <f>IF(B80="","",COUNTIF(التمديدات!$A$2:$A$301,B80))</f>
        <v/>
      </c>
      <c r="V80" s="10"/>
      <c r="W80" s="10"/>
      <c r="X80" s="7" t="str">
        <f t="shared" si="4"/>
        <v/>
      </c>
    </row>
    <row r="81" spans="1:24">
      <c r="A81" s="7">
        <v>80</v>
      </c>
      <c r="B81" s="10"/>
      <c r="C81" s="10"/>
      <c r="D81" s="10"/>
      <c r="E81" s="10"/>
      <c r="F81" s="10"/>
      <c r="G81" s="11"/>
      <c r="H81" s="11"/>
      <c r="I81" s="11"/>
      <c r="J81" s="12" t="str">
        <f>IF(B81="","",MAX(I81,_xlfn.MAXIFS(التمديدات!$C$2:$C$301,التمديدات!$A$2:$A$301,B81)))</f>
        <v/>
      </c>
      <c r="K81" s="7" t="str">
        <f t="shared" si="5"/>
        <v/>
      </c>
      <c r="L81" s="26"/>
      <c r="M81" s="27"/>
      <c r="N81" s="10"/>
      <c r="O81" s="10"/>
      <c r="P81" s="10"/>
      <c r="Q81" s="10"/>
      <c r="R81" s="7" t="str">
        <f ca="1">IF(B81="","",IF(Q81&lt;&gt;"",Q81,IF(H81&gt;TODAY(),"لم يبدأ بعد",IF(J81&lt;TODAY(),"منتهٍ",IF(J81-TODAY()&lt;='القوائم والإعدادات'!$E$2,"قريب الانتهاء","ساري")))))</f>
        <v/>
      </c>
      <c r="S81" s="7" t="str">
        <f t="shared" ca="1" si="3"/>
        <v/>
      </c>
      <c r="T81" s="7" t="str">
        <f ca="1">IF(OR(R81="ساري",R81="قريب الانتهاء"),IF(S81&lt;='القوائم والإعدادات'!$E$4,"عاجل",IF(S81&lt;='القوائم والإعدادات'!$E$3,"خلال 60 يوم",IF(S81&lt;='القوائم والإعدادات'!$E$2,"خلال 90 يوم",""))),"")</f>
        <v/>
      </c>
      <c r="U81" s="7" t="str">
        <f>IF(B81="","",COUNTIF(التمديدات!$A$2:$A$301,B81))</f>
        <v/>
      </c>
      <c r="V81" s="10"/>
      <c r="W81" s="10"/>
      <c r="X81" s="7" t="str">
        <f t="shared" si="4"/>
        <v/>
      </c>
    </row>
    <row r="82" spans="1:24">
      <c r="A82" s="7">
        <v>81</v>
      </c>
      <c r="B82" s="10"/>
      <c r="C82" s="10"/>
      <c r="D82" s="10"/>
      <c r="E82" s="10"/>
      <c r="F82" s="10"/>
      <c r="G82" s="11"/>
      <c r="H82" s="11"/>
      <c r="I82" s="11"/>
      <c r="J82" s="12" t="str">
        <f>IF(B82="","",MAX(I82,_xlfn.MAXIFS(التمديدات!$C$2:$C$301,التمديدات!$A$2:$A$301,B82)))</f>
        <v/>
      </c>
      <c r="K82" s="7" t="str">
        <f t="shared" si="5"/>
        <v/>
      </c>
      <c r="L82" s="26"/>
      <c r="M82" s="27"/>
      <c r="N82" s="10"/>
      <c r="O82" s="10"/>
      <c r="P82" s="10"/>
      <c r="Q82" s="10"/>
      <c r="R82" s="7" t="str">
        <f ca="1">IF(B82="","",IF(Q82&lt;&gt;"",Q82,IF(H82&gt;TODAY(),"لم يبدأ بعد",IF(J82&lt;TODAY(),"منتهٍ",IF(J82-TODAY()&lt;='القوائم والإعدادات'!$E$2,"قريب الانتهاء","ساري")))))</f>
        <v/>
      </c>
      <c r="S82" s="7" t="str">
        <f t="shared" ref="S82:S145" ca="1" si="6">IF(B82="","",J82-TODAY())</f>
        <v/>
      </c>
      <c r="T82" s="7" t="str">
        <f ca="1">IF(OR(R82="ساري",R82="قريب الانتهاء"),IF(S82&lt;='القوائم والإعدادات'!$E$4,"عاجل",IF(S82&lt;='القوائم والإعدادات'!$E$3,"خلال 60 يوم",IF(S82&lt;='القوائم والإعدادات'!$E$2,"خلال 90 يوم",""))),"")</f>
        <v/>
      </c>
      <c r="U82" s="7" t="str">
        <f>IF(B82="","",COUNTIF(التمديدات!$A$2:$A$301,B82))</f>
        <v/>
      </c>
      <c r="V82" s="10"/>
      <c r="W82" s="10"/>
      <c r="X82" s="7" t="str">
        <f t="shared" ref="X82:X145" si="7">IF(B82="","",IF(COUNTIFS($B$2:$B$501,B82,$D$2:$D$501,D82)&gt;1,"مكرر!",""))</f>
        <v/>
      </c>
    </row>
    <row r="83" spans="1:24">
      <c r="A83" s="7">
        <v>82</v>
      </c>
      <c r="B83" s="10"/>
      <c r="C83" s="10"/>
      <c r="D83" s="10"/>
      <c r="E83" s="10"/>
      <c r="F83" s="10"/>
      <c r="G83" s="11"/>
      <c r="H83" s="11"/>
      <c r="I83" s="11"/>
      <c r="J83" s="12" t="str">
        <f>IF(B83="","",MAX(I83,_xlfn.MAXIFS(التمديدات!$C$2:$C$301,التمديدات!$A$2:$A$301,B83)))</f>
        <v/>
      </c>
      <c r="K83" s="7" t="str">
        <f t="shared" si="5"/>
        <v/>
      </c>
      <c r="L83" s="26"/>
      <c r="M83" s="27"/>
      <c r="N83" s="10"/>
      <c r="O83" s="10"/>
      <c r="P83" s="10"/>
      <c r="Q83" s="10"/>
      <c r="R83" s="7" t="str">
        <f ca="1">IF(B83="","",IF(Q83&lt;&gt;"",Q83,IF(H83&gt;TODAY(),"لم يبدأ بعد",IF(J83&lt;TODAY(),"منتهٍ",IF(J83-TODAY()&lt;='القوائم والإعدادات'!$E$2,"قريب الانتهاء","ساري")))))</f>
        <v/>
      </c>
      <c r="S83" s="7" t="str">
        <f t="shared" ca="1" si="6"/>
        <v/>
      </c>
      <c r="T83" s="7" t="str">
        <f ca="1">IF(OR(R83="ساري",R83="قريب الانتهاء"),IF(S83&lt;='القوائم والإعدادات'!$E$4,"عاجل",IF(S83&lt;='القوائم والإعدادات'!$E$3,"خلال 60 يوم",IF(S83&lt;='القوائم والإعدادات'!$E$2,"خلال 90 يوم",""))),"")</f>
        <v/>
      </c>
      <c r="U83" s="7" t="str">
        <f>IF(B83="","",COUNTIF(التمديدات!$A$2:$A$301,B83))</f>
        <v/>
      </c>
      <c r="V83" s="10"/>
      <c r="W83" s="10"/>
      <c r="X83" s="7" t="str">
        <f t="shared" si="7"/>
        <v/>
      </c>
    </row>
    <row r="84" spans="1:24">
      <c r="A84" s="7">
        <v>83</v>
      </c>
      <c r="B84" s="10"/>
      <c r="C84" s="10"/>
      <c r="D84" s="10"/>
      <c r="E84" s="10"/>
      <c r="F84" s="10"/>
      <c r="G84" s="11"/>
      <c r="H84" s="11"/>
      <c r="I84" s="11"/>
      <c r="J84" s="12" t="str">
        <f>IF(B84="","",MAX(I84,_xlfn.MAXIFS(التمديدات!$C$2:$C$301,التمديدات!$A$2:$A$301,B84)))</f>
        <v/>
      </c>
      <c r="K84" s="7" t="str">
        <f t="shared" si="5"/>
        <v/>
      </c>
      <c r="L84" s="26"/>
      <c r="M84" s="27"/>
      <c r="N84" s="10"/>
      <c r="O84" s="10"/>
      <c r="P84" s="10"/>
      <c r="Q84" s="10"/>
      <c r="R84" s="7" t="str">
        <f ca="1">IF(B84="","",IF(Q84&lt;&gt;"",Q84,IF(H84&gt;TODAY(),"لم يبدأ بعد",IF(J84&lt;TODAY(),"منتهٍ",IF(J84-TODAY()&lt;='القوائم والإعدادات'!$E$2,"قريب الانتهاء","ساري")))))</f>
        <v/>
      </c>
      <c r="S84" s="7" t="str">
        <f t="shared" ca="1" si="6"/>
        <v/>
      </c>
      <c r="T84" s="7" t="str">
        <f ca="1">IF(OR(R84="ساري",R84="قريب الانتهاء"),IF(S84&lt;='القوائم والإعدادات'!$E$4,"عاجل",IF(S84&lt;='القوائم والإعدادات'!$E$3,"خلال 60 يوم",IF(S84&lt;='القوائم والإعدادات'!$E$2,"خلال 90 يوم",""))),"")</f>
        <v/>
      </c>
      <c r="U84" s="7" t="str">
        <f>IF(B84="","",COUNTIF(التمديدات!$A$2:$A$301,B84))</f>
        <v/>
      </c>
      <c r="V84" s="10"/>
      <c r="W84" s="10"/>
      <c r="X84" s="7" t="str">
        <f t="shared" si="7"/>
        <v/>
      </c>
    </row>
    <row r="85" spans="1:24">
      <c r="A85" s="7">
        <v>84</v>
      </c>
      <c r="B85" s="10"/>
      <c r="C85" s="10"/>
      <c r="D85" s="10"/>
      <c r="E85" s="10"/>
      <c r="F85" s="10"/>
      <c r="G85" s="11"/>
      <c r="H85" s="11"/>
      <c r="I85" s="11"/>
      <c r="J85" s="12" t="str">
        <f>IF(B85="","",MAX(I85,_xlfn.MAXIFS(التمديدات!$C$2:$C$301,التمديدات!$A$2:$A$301,B85)))</f>
        <v/>
      </c>
      <c r="K85" s="7" t="str">
        <f t="shared" si="5"/>
        <v/>
      </c>
      <c r="L85" s="26"/>
      <c r="M85" s="27"/>
      <c r="N85" s="10"/>
      <c r="O85" s="10"/>
      <c r="P85" s="10"/>
      <c r="Q85" s="10"/>
      <c r="R85" s="7" t="str">
        <f ca="1">IF(B85="","",IF(Q85&lt;&gt;"",Q85,IF(H85&gt;TODAY(),"لم يبدأ بعد",IF(J85&lt;TODAY(),"منتهٍ",IF(J85-TODAY()&lt;='القوائم والإعدادات'!$E$2,"قريب الانتهاء","ساري")))))</f>
        <v/>
      </c>
      <c r="S85" s="7" t="str">
        <f t="shared" ca="1" si="6"/>
        <v/>
      </c>
      <c r="T85" s="7" t="str">
        <f ca="1">IF(OR(R85="ساري",R85="قريب الانتهاء"),IF(S85&lt;='القوائم والإعدادات'!$E$4,"عاجل",IF(S85&lt;='القوائم والإعدادات'!$E$3,"خلال 60 يوم",IF(S85&lt;='القوائم والإعدادات'!$E$2,"خلال 90 يوم",""))),"")</f>
        <v/>
      </c>
      <c r="U85" s="7" t="str">
        <f>IF(B85="","",COUNTIF(التمديدات!$A$2:$A$301,B85))</f>
        <v/>
      </c>
      <c r="V85" s="10"/>
      <c r="W85" s="10"/>
      <c r="X85" s="7" t="str">
        <f t="shared" si="7"/>
        <v/>
      </c>
    </row>
    <row r="86" spans="1:24">
      <c r="A86" s="7">
        <v>85</v>
      </c>
      <c r="B86" s="10"/>
      <c r="C86" s="10"/>
      <c r="D86" s="10"/>
      <c r="E86" s="10"/>
      <c r="F86" s="10"/>
      <c r="G86" s="11"/>
      <c r="H86" s="11"/>
      <c r="I86" s="11"/>
      <c r="J86" s="12" t="str">
        <f>IF(B86="","",MAX(I86,_xlfn.MAXIFS(التمديدات!$C$2:$C$301,التمديدات!$A$2:$A$301,B86)))</f>
        <v/>
      </c>
      <c r="K86" s="7" t="str">
        <f t="shared" si="5"/>
        <v/>
      </c>
      <c r="L86" s="26"/>
      <c r="M86" s="27"/>
      <c r="N86" s="10"/>
      <c r="O86" s="10"/>
      <c r="P86" s="10"/>
      <c r="Q86" s="10"/>
      <c r="R86" s="7" t="str">
        <f ca="1">IF(B86="","",IF(Q86&lt;&gt;"",Q86,IF(H86&gt;TODAY(),"لم يبدأ بعد",IF(J86&lt;TODAY(),"منتهٍ",IF(J86-TODAY()&lt;='القوائم والإعدادات'!$E$2,"قريب الانتهاء","ساري")))))</f>
        <v/>
      </c>
      <c r="S86" s="7" t="str">
        <f t="shared" ca="1" si="6"/>
        <v/>
      </c>
      <c r="T86" s="7" t="str">
        <f ca="1">IF(OR(R86="ساري",R86="قريب الانتهاء"),IF(S86&lt;='القوائم والإعدادات'!$E$4,"عاجل",IF(S86&lt;='القوائم والإعدادات'!$E$3,"خلال 60 يوم",IF(S86&lt;='القوائم والإعدادات'!$E$2,"خلال 90 يوم",""))),"")</f>
        <v/>
      </c>
      <c r="U86" s="7" t="str">
        <f>IF(B86="","",COUNTIF(التمديدات!$A$2:$A$301,B86))</f>
        <v/>
      </c>
      <c r="V86" s="10"/>
      <c r="W86" s="10"/>
      <c r="X86" s="7" t="str">
        <f t="shared" si="7"/>
        <v/>
      </c>
    </row>
    <row r="87" spans="1:24">
      <c r="A87" s="7">
        <v>86</v>
      </c>
      <c r="B87" s="10"/>
      <c r="C87" s="10"/>
      <c r="D87" s="10"/>
      <c r="E87" s="10"/>
      <c r="F87" s="10"/>
      <c r="G87" s="11"/>
      <c r="H87" s="11"/>
      <c r="I87" s="11"/>
      <c r="J87" s="12" t="str">
        <f>IF(B87="","",MAX(I87,_xlfn.MAXIFS(التمديدات!$C$2:$C$301,التمديدات!$A$2:$A$301,B87)))</f>
        <v/>
      </c>
      <c r="K87" s="7" t="str">
        <f t="shared" si="5"/>
        <v/>
      </c>
      <c r="L87" s="26"/>
      <c r="M87" s="27"/>
      <c r="N87" s="10"/>
      <c r="O87" s="10"/>
      <c r="P87" s="10"/>
      <c r="Q87" s="10"/>
      <c r="R87" s="7" t="str">
        <f ca="1">IF(B87="","",IF(Q87&lt;&gt;"",Q87,IF(H87&gt;TODAY(),"لم يبدأ بعد",IF(J87&lt;TODAY(),"منتهٍ",IF(J87-TODAY()&lt;='القوائم والإعدادات'!$E$2,"قريب الانتهاء","ساري")))))</f>
        <v/>
      </c>
      <c r="S87" s="7" t="str">
        <f t="shared" ca="1" si="6"/>
        <v/>
      </c>
      <c r="T87" s="7" t="str">
        <f ca="1">IF(OR(R87="ساري",R87="قريب الانتهاء"),IF(S87&lt;='القوائم والإعدادات'!$E$4,"عاجل",IF(S87&lt;='القوائم والإعدادات'!$E$3,"خلال 60 يوم",IF(S87&lt;='القوائم والإعدادات'!$E$2,"خلال 90 يوم",""))),"")</f>
        <v/>
      </c>
      <c r="U87" s="7" t="str">
        <f>IF(B87="","",COUNTIF(التمديدات!$A$2:$A$301,B87))</f>
        <v/>
      </c>
      <c r="V87" s="10"/>
      <c r="W87" s="10"/>
      <c r="X87" s="7" t="str">
        <f t="shared" si="7"/>
        <v/>
      </c>
    </row>
    <row r="88" spans="1:24">
      <c r="A88" s="7">
        <v>87</v>
      </c>
      <c r="B88" s="10"/>
      <c r="C88" s="10"/>
      <c r="D88" s="10"/>
      <c r="E88" s="10"/>
      <c r="F88" s="10"/>
      <c r="G88" s="11"/>
      <c r="H88" s="11"/>
      <c r="I88" s="11"/>
      <c r="J88" s="12" t="str">
        <f>IF(B88="","",MAX(I88,_xlfn.MAXIFS(التمديدات!$C$2:$C$301,التمديدات!$A$2:$A$301,B88)))</f>
        <v/>
      </c>
      <c r="K88" s="7" t="str">
        <f t="shared" si="5"/>
        <v/>
      </c>
      <c r="L88" s="26"/>
      <c r="M88" s="27"/>
      <c r="N88" s="10"/>
      <c r="O88" s="10"/>
      <c r="P88" s="10"/>
      <c r="Q88" s="10"/>
      <c r="R88" s="7" t="str">
        <f ca="1">IF(B88="","",IF(Q88&lt;&gt;"",Q88,IF(H88&gt;TODAY(),"لم يبدأ بعد",IF(J88&lt;TODAY(),"منتهٍ",IF(J88-TODAY()&lt;='القوائم والإعدادات'!$E$2,"قريب الانتهاء","ساري")))))</f>
        <v/>
      </c>
      <c r="S88" s="7" t="str">
        <f t="shared" ca="1" si="6"/>
        <v/>
      </c>
      <c r="T88" s="7" t="str">
        <f ca="1">IF(OR(R88="ساري",R88="قريب الانتهاء"),IF(S88&lt;='القوائم والإعدادات'!$E$4,"عاجل",IF(S88&lt;='القوائم والإعدادات'!$E$3,"خلال 60 يوم",IF(S88&lt;='القوائم والإعدادات'!$E$2,"خلال 90 يوم",""))),"")</f>
        <v/>
      </c>
      <c r="U88" s="7" t="str">
        <f>IF(B88="","",COUNTIF(التمديدات!$A$2:$A$301,B88))</f>
        <v/>
      </c>
      <c r="V88" s="10"/>
      <c r="W88" s="10"/>
      <c r="X88" s="7" t="str">
        <f t="shared" si="7"/>
        <v/>
      </c>
    </row>
    <row r="89" spans="1:24">
      <c r="A89" s="7">
        <v>88</v>
      </c>
      <c r="B89" s="10"/>
      <c r="C89" s="10"/>
      <c r="D89" s="10"/>
      <c r="E89" s="10"/>
      <c r="F89" s="10"/>
      <c r="G89" s="11"/>
      <c r="H89" s="11"/>
      <c r="I89" s="11"/>
      <c r="J89" s="12" t="str">
        <f>IF(B89="","",MAX(I89,_xlfn.MAXIFS(التمديدات!$C$2:$C$301,التمديدات!$A$2:$A$301,B89)))</f>
        <v/>
      </c>
      <c r="K89" s="7" t="str">
        <f t="shared" si="5"/>
        <v/>
      </c>
      <c r="L89" s="26"/>
      <c r="M89" s="27"/>
      <c r="N89" s="10"/>
      <c r="O89" s="10"/>
      <c r="P89" s="10"/>
      <c r="Q89" s="10"/>
      <c r="R89" s="7" t="str">
        <f ca="1">IF(B89="","",IF(Q89&lt;&gt;"",Q89,IF(H89&gt;TODAY(),"لم يبدأ بعد",IF(J89&lt;TODAY(),"منتهٍ",IF(J89-TODAY()&lt;='القوائم والإعدادات'!$E$2,"قريب الانتهاء","ساري")))))</f>
        <v/>
      </c>
      <c r="S89" s="7" t="str">
        <f t="shared" ca="1" si="6"/>
        <v/>
      </c>
      <c r="T89" s="7" t="str">
        <f ca="1">IF(OR(R89="ساري",R89="قريب الانتهاء"),IF(S89&lt;='القوائم والإعدادات'!$E$4,"عاجل",IF(S89&lt;='القوائم والإعدادات'!$E$3,"خلال 60 يوم",IF(S89&lt;='القوائم والإعدادات'!$E$2,"خلال 90 يوم",""))),"")</f>
        <v/>
      </c>
      <c r="U89" s="7" t="str">
        <f>IF(B89="","",COUNTIF(التمديدات!$A$2:$A$301,B89))</f>
        <v/>
      </c>
      <c r="V89" s="10"/>
      <c r="W89" s="10"/>
      <c r="X89" s="7" t="str">
        <f t="shared" si="7"/>
        <v/>
      </c>
    </row>
    <row r="90" spans="1:24">
      <c r="A90" s="7">
        <v>89</v>
      </c>
      <c r="B90" s="10"/>
      <c r="C90" s="10"/>
      <c r="D90" s="10"/>
      <c r="E90" s="10"/>
      <c r="F90" s="10"/>
      <c r="G90" s="11"/>
      <c r="H90" s="11"/>
      <c r="I90" s="11"/>
      <c r="J90" s="12" t="str">
        <f>IF(B90="","",MAX(I90,_xlfn.MAXIFS(التمديدات!$C$2:$C$301,التمديدات!$A$2:$A$301,B90)))</f>
        <v/>
      </c>
      <c r="K90" s="7" t="str">
        <f t="shared" si="5"/>
        <v/>
      </c>
      <c r="L90" s="26"/>
      <c r="M90" s="27"/>
      <c r="N90" s="10"/>
      <c r="O90" s="10"/>
      <c r="P90" s="10"/>
      <c r="Q90" s="10"/>
      <c r="R90" s="7" t="str">
        <f ca="1">IF(B90="","",IF(Q90&lt;&gt;"",Q90,IF(H90&gt;TODAY(),"لم يبدأ بعد",IF(J90&lt;TODAY(),"منتهٍ",IF(J90-TODAY()&lt;='القوائم والإعدادات'!$E$2,"قريب الانتهاء","ساري")))))</f>
        <v/>
      </c>
      <c r="S90" s="7" t="str">
        <f t="shared" ca="1" si="6"/>
        <v/>
      </c>
      <c r="T90" s="7" t="str">
        <f ca="1">IF(OR(R90="ساري",R90="قريب الانتهاء"),IF(S90&lt;='القوائم والإعدادات'!$E$4,"عاجل",IF(S90&lt;='القوائم والإعدادات'!$E$3,"خلال 60 يوم",IF(S90&lt;='القوائم والإعدادات'!$E$2,"خلال 90 يوم",""))),"")</f>
        <v/>
      </c>
      <c r="U90" s="7" t="str">
        <f>IF(B90="","",COUNTIF(التمديدات!$A$2:$A$301,B90))</f>
        <v/>
      </c>
      <c r="V90" s="10"/>
      <c r="W90" s="10"/>
      <c r="X90" s="7" t="str">
        <f t="shared" si="7"/>
        <v/>
      </c>
    </row>
    <row r="91" spans="1:24">
      <c r="A91" s="7">
        <v>90</v>
      </c>
      <c r="B91" s="10"/>
      <c r="C91" s="10"/>
      <c r="D91" s="10"/>
      <c r="E91" s="10"/>
      <c r="F91" s="10"/>
      <c r="G91" s="11"/>
      <c r="H91" s="11"/>
      <c r="I91" s="11"/>
      <c r="J91" s="12" t="str">
        <f>IF(B91="","",MAX(I91,_xlfn.MAXIFS(التمديدات!$C$2:$C$301,التمديدات!$A$2:$A$301,B91)))</f>
        <v/>
      </c>
      <c r="K91" s="7" t="str">
        <f t="shared" si="5"/>
        <v/>
      </c>
      <c r="L91" s="26"/>
      <c r="M91" s="27"/>
      <c r="N91" s="10"/>
      <c r="O91" s="10"/>
      <c r="P91" s="10"/>
      <c r="Q91" s="10"/>
      <c r="R91" s="7" t="str">
        <f ca="1">IF(B91="","",IF(Q91&lt;&gt;"",Q91,IF(H91&gt;TODAY(),"لم يبدأ بعد",IF(J91&lt;TODAY(),"منتهٍ",IF(J91-TODAY()&lt;='القوائم والإعدادات'!$E$2,"قريب الانتهاء","ساري")))))</f>
        <v/>
      </c>
      <c r="S91" s="7" t="str">
        <f t="shared" ca="1" si="6"/>
        <v/>
      </c>
      <c r="T91" s="7" t="str">
        <f ca="1">IF(OR(R91="ساري",R91="قريب الانتهاء"),IF(S91&lt;='القوائم والإعدادات'!$E$4,"عاجل",IF(S91&lt;='القوائم والإعدادات'!$E$3,"خلال 60 يوم",IF(S91&lt;='القوائم والإعدادات'!$E$2,"خلال 90 يوم",""))),"")</f>
        <v/>
      </c>
      <c r="U91" s="7" t="str">
        <f>IF(B91="","",COUNTIF(التمديدات!$A$2:$A$301,B91))</f>
        <v/>
      </c>
      <c r="V91" s="10"/>
      <c r="W91" s="10"/>
      <c r="X91" s="7" t="str">
        <f t="shared" si="7"/>
        <v/>
      </c>
    </row>
    <row r="92" spans="1:24">
      <c r="A92" s="7">
        <v>91</v>
      </c>
      <c r="B92" s="10"/>
      <c r="C92" s="10"/>
      <c r="D92" s="10"/>
      <c r="E92" s="10"/>
      <c r="F92" s="10"/>
      <c r="G92" s="11"/>
      <c r="H92" s="11"/>
      <c r="I92" s="11"/>
      <c r="J92" s="12" t="str">
        <f>IF(B92="","",MAX(I92,_xlfn.MAXIFS(التمديدات!$C$2:$C$301,التمديدات!$A$2:$A$301,B92)))</f>
        <v/>
      </c>
      <c r="K92" s="7" t="str">
        <f t="shared" si="5"/>
        <v/>
      </c>
      <c r="L92" s="26"/>
      <c r="M92" s="27"/>
      <c r="N92" s="10"/>
      <c r="O92" s="10"/>
      <c r="P92" s="10"/>
      <c r="Q92" s="10"/>
      <c r="R92" s="7" t="str">
        <f ca="1">IF(B92="","",IF(Q92&lt;&gt;"",Q92,IF(H92&gt;TODAY(),"لم يبدأ بعد",IF(J92&lt;TODAY(),"منتهٍ",IF(J92-TODAY()&lt;='القوائم والإعدادات'!$E$2,"قريب الانتهاء","ساري")))))</f>
        <v/>
      </c>
      <c r="S92" s="7" t="str">
        <f t="shared" ca="1" si="6"/>
        <v/>
      </c>
      <c r="T92" s="7" t="str">
        <f ca="1">IF(OR(R92="ساري",R92="قريب الانتهاء"),IF(S92&lt;='القوائم والإعدادات'!$E$4,"عاجل",IF(S92&lt;='القوائم والإعدادات'!$E$3,"خلال 60 يوم",IF(S92&lt;='القوائم والإعدادات'!$E$2,"خلال 90 يوم",""))),"")</f>
        <v/>
      </c>
      <c r="U92" s="7" t="str">
        <f>IF(B92="","",COUNTIF(التمديدات!$A$2:$A$301,B92))</f>
        <v/>
      </c>
      <c r="V92" s="10"/>
      <c r="W92" s="10"/>
      <c r="X92" s="7" t="str">
        <f t="shared" si="7"/>
        <v/>
      </c>
    </row>
    <row r="93" spans="1:24">
      <c r="A93" s="7">
        <v>92</v>
      </c>
      <c r="B93" s="10"/>
      <c r="C93" s="10"/>
      <c r="D93" s="10"/>
      <c r="E93" s="10"/>
      <c r="F93" s="10"/>
      <c r="G93" s="11"/>
      <c r="H93" s="11"/>
      <c r="I93" s="11"/>
      <c r="J93" s="12" t="str">
        <f>IF(B93="","",MAX(I93,_xlfn.MAXIFS(التمديدات!$C$2:$C$301,التمديدات!$A$2:$A$301,B93)))</f>
        <v/>
      </c>
      <c r="K93" s="7" t="str">
        <f t="shared" si="5"/>
        <v/>
      </c>
      <c r="L93" s="26"/>
      <c r="M93" s="27"/>
      <c r="N93" s="10"/>
      <c r="O93" s="10"/>
      <c r="P93" s="10"/>
      <c r="Q93" s="10"/>
      <c r="R93" s="7" t="str">
        <f ca="1">IF(B93="","",IF(Q93&lt;&gt;"",Q93,IF(H93&gt;TODAY(),"لم يبدأ بعد",IF(J93&lt;TODAY(),"منتهٍ",IF(J93-TODAY()&lt;='القوائم والإعدادات'!$E$2,"قريب الانتهاء","ساري")))))</f>
        <v/>
      </c>
      <c r="S93" s="7" t="str">
        <f t="shared" ca="1" si="6"/>
        <v/>
      </c>
      <c r="T93" s="7" t="str">
        <f ca="1">IF(OR(R93="ساري",R93="قريب الانتهاء"),IF(S93&lt;='القوائم والإعدادات'!$E$4,"عاجل",IF(S93&lt;='القوائم والإعدادات'!$E$3,"خلال 60 يوم",IF(S93&lt;='القوائم والإعدادات'!$E$2,"خلال 90 يوم",""))),"")</f>
        <v/>
      </c>
      <c r="U93" s="7" t="str">
        <f>IF(B93="","",COUNTIF(التمديدات!$A$2:$A$301,B93))</f>
        <v/>
      </c>
      <c r="V93" s="10"/>
      <c r="W93" s="10"/>
      <c r="X93" s="7" t="str">
        <f t="shared" si="7"/>
        <v/>
      </c>
    </row>
    <row r="94" spans="1:24">
      <c r="A94" s="7">
        <v>93</v>
      </c>
      <c r="B94" s="10"/>
      <c r="C94" s="10"/>
      <c r="D94" s="10"/>
      <c r="E94" s="10"/>
      <c r="F94" s="10"/>
      <c r="G94" s="11"/>
      <c r="H94" s="11"/>
      <c r="I94" s="11"/>
      <c r="J94" s="12" t="str">
        <f>IF(B94="","",MAX(I94,_xlfn.MAXIFS(التمديدات!$C$2:$C$301,التمديدات!$A$2:$A$301,B94)))</f>
        <v/>
      </c>
      <c r="K94" s="7" t="str">
        <f t="shared" si="5"/>
        <v/>
      </c>
      <c r="L94" s="26"/>
      <c r="M94" s="27"/>
      <c r="N94" s="10"/>
      <c r="O94" s="10"/>
      <c r="P94" s="10"/>
      <c r="Q94" s="10"/>
      <c r="R94" s="7" t="str">
        <f ca="1">IF(B94="","",IF(Q94&lt;&gt;"",Q94,IF(H94&gt;TODAY(),"لم يبدأ بعد",IF(J94&lt;TODAY(),"منتهٍ",IF(J94-TODAY()&lt;='القوائم والإعدادات'!$E$2,"قريب الانتهاء","ساري")))))</f>
        <v/>
      </c>
      <c r="S94" s="7" t="str">
        <f t="shared" ca="1" si="6"/>
        <v/>
      </c>
      <c r="T94" s="7" t="str">
        <f ca="1">IF(OR(R94="ساري",R94="قريب الانتهاء"),IF(S94&lt;='القوائم والإعدادات'!$E$4,"عاجل",IF(S94&lt;='القوائم والإعدادات'!$E$3,"خلال 60 يوم",IF(S94&lt;='القوائم والإعدادات'!$E$2,"خلال 90 يوم",""))),"")</f>
        <v/>
      </c>
      <c r="U94" s="7" t="str">
        <f>IF(B94="","",COUNTIF(التمديدات!$A$2:$A$301,B94))</f>
        <v/>
      </c>
      <c r="V94" s="10"/>
      <c r="W94" s="10"/>
      <c r="X94" s="7" t="str">
        <f t="shared" si="7"/>
        <v/>
      </c>
    </row>
    <row r="95" spans="1:24">
      <c r="A95" s="7">
        <v>94</v>
      </c>
      <c r="B95" s="10"/>
      <c r="C95" s="10"/>
      <c r="D95" s="10"/>
      <c r="E95" s="10"/>
      <c r="F95" s="10"/>
      <c r="G95" s="11"/>
      <c r="H95" s="11"/>
      <c r="I95" s="11"/>
      <c r="J95" s="12" t="str">
        <f>IF(B95="","",MAX(I95,_xlfn.MAXIFS(التمديدات!$C$2:$C$301,التمديدات!$A$2:$A$301,B95)))</f>
        <v/>
      </c>
      <c r="K95" s="7" t="str">
        <f t="shared" si="5"/>
        <v/>
      </c>
      <c r="L95" s="26"/>
      <c r="M95" s="27"/>
      <c r="N95" s="10"/>
      <c r="O95" s="10"/>
      <c r="P95" s="10"/>
      <c r="Q95" s="10"/>
      <c r="R95" s="7" t="str">
        <f ca="1">IF(B95="","",IF(Q95&lt;&gt;"",Q95,IF(H95&gt;TODAY(),"لم يبدأ بعد",IF(J95&lt;TODAY(),"منتهٍ",IF(J95-TODAY()&lt;='القوائم والإعدادات'!$E$2,"قريب الانتهاء","ساري")))))</f>
        <v/>
      </c>
      <c r="S95" s="7" t="str">
        <f t="shared" ca="1" si="6"/>
        <v/>
      </c>
      <c r="T95" s="7" t="str">
        <f ca="1">IF(OR(R95="ساري",R95="قريب الانتهاء"),IF(S95&lt;='القوائم والإعدادات'!$E$4,"عاجل",IF(S95&lt;='القوائم والإعدادات'!$E$3,"خلال 60 يوم",IF(S95&lt;='القوائم والإعدادات'!$E$2,"خلال 90 يوم",""))),"")</f>
        <v/>
      </c>
      <c r="U95" s="7" t="str">
        <f>IF(B95="","",COUNTIF(التمديدات!$A$2:$A$301,B95))</f>
        <v/>
      </c>
      <c r="V95" s="10"/>
      <c r="W95" s="10"/>
      <c r="X95" s="7" t="str">
        <f t="shared" si="7"/>
        <v/>
      </c>
    </row>
    <row r="96" spans="1:24">
      <c r="A96" s="7">
        <v>95</v>
      </c>
      <c r="B96" s="10"/>
      <c r="C96" s="10"/>
      <c r="D96" s="10"/>
      <c r="E96" s="10"/>
      <c r="F96" s="10"/>
      <c r="G96" s="11"/>
      <c r="H96" s="11"/>
      <c r="I96" s="11"/>
      <c r="J96" s="12" t="str">
        <f>IF(B96="","",MAX(I96,_xlfn.MAXIFS(التمديدات!$C$2:$C$301,التمديدات!$A$2:$A$301,B96)))</f>
        <v/>
      </c>
      <c r="K96" s="7" t="str">
        <f t="shared" si="5"/>
        <v/>
      </c>
      <c r="L96" s="26"/>
      <c r="M96" s="27"/>
      <c r="N96" s="10"/>
      <c r="O96" s="10"/>
      <c r="P96" s="10"/>
      <c r="Q96" s="10"/>
      <c r="R96" s="7" t="str">
        <f ca="1">IF(B96="","",IF(Q96&lt;&gt;"",Q96,IF(H96&gt;TODAY(),"لم يبدأ بعد",IF(J96&lt;TODAY(),"منتهٍ",IF(J96-TODAY()&lt;='القوائم والإعدادات'!$E$2,"قريب الانتهاء","ساري")))))</f>
        <v/>
      </c>
      <c r="S96" s="7" t="str">
        <f t="shared" ca="1" si="6"/>
        <v/>
      </c>
      <c r="T96" s="7" t="str">
        <f ca="1">IF(OR(R96="ساري",R96="قريب الانتهاء"),IF(S96&lt;='القوائم والإعدادات'!$E$4,"عاجل",IF(S96&lt;='القوائم والإعدادات'!$E$3,"خلال 60 يوم",IF(S96&lt;='القوائم والإعدادات'!$E$2,"خلال 90 يوم",""))),"")</f>
        <v/>
      </c>
      <c r="U96" s="7" t="str">
        <f>IF(B96="","",COUNTIF(التمديدات!$A$2:$A$301,B96))</f>
        <v/>
      </c>
      <c r="V96" s="10"/>
      <c r="W96" s="10"/>
      <c r="X96" s="7" t="str">
        <f t="shared" si="7"/>
        <v/>
      </c>
    </row>
    <row r="97" spans="1:24">
      <c r="A97" s="7">
        <v>96</v>
      </c>
      <c r="B97" s="10"/>
      <c r="C97" s="10"/>
      <c r="D97" s="10"/>
      <c r="E97" s="10"/>
      <c r="F97" s="10"/>
      <c r="G97" s="11"/>
      <c r="H97" s="11"/>
      <c r="I97" s="11"/>
      <c r="J97" s="12" t="str">
        <f>IF(B97="","",MAX(I97,_xlfn.MAXIFS(التمديدات!$C$2:$C$301,التمديدات!$A$2:$A$301,B97)))</f>
        <v/>
      </c>
      <c r="K97" s="7" t="str">
        <f t="shared" si="5"/>
        <v/>
      </c>
      <c r="L97" s="26"/>
      <c r="M97" s="27"/>
      <c r="N97" s="10"/>
      <c r="O97" s="10"/>
      <c r="P97" s="10"/>
      <c r="Q97" s="10"/>
      <c r="R97" s="7" t="str">
        <f ca="1">IF(B97="","",IF(Q97&lt;&gt;"",Q97,IF(H97&gt;TODAY(),"لم يبدأ بعد",IF(J97&lt;TODAY(),"منتهٍ",IF(J97-TODAY()&lt;='القوائم والإعدادات'!$E$2,"قريب الانتهاء","ساري")))))</f>
        <v/>
      </c>
      <c r="S97" s="7" t="str">
        <f t="shared" ca="1" si="6"/>
        <v/>
      </c>
      <c r="T97" s="7" t="str">
        <f ca="1">IF(OR(R97="ساري",R97="قريب الانتهاء"),IF(S97&lt;='القوائم والإعدادات'!$E$4,"عاجل",IF(S97&lt;='القوائم والإعدادات'!$E$3,"خلال 60 يوم",IF(S97&lt;='القوائم والإعدادات'!$E$2,"خلال 90 يوم",""))),"")</f>
        <v/>
      </c>
      <c r="U97" s="7" t="str">
        <f>IF(B97="","",COUNTIF(التمديدات!$A$2:$A$301,B97))</f>
        <v/>
      </c>
      <c r="V97" s="10"/>
      <c r="W97" s="10"/>
      <c r="X97" s="7" t="str">
        <f t="shared" si="7"/>
        <v/>
      </c>
    </row>
    <row r="98" spans="1:24">
      <c r="A98" s="7">
        <v>97</v>
      </c>
      <c r="B98" s="10"/>
      <c r="C98" s="10"/>
      <c r="D98" s="10"/>
      <c r="E98" s="10"/>
      <c r="F98" s="10"/>
      <c r="G98" s="11"/>
      <c r="H98" s="11"/>
      <c r="I98" s="11"/>
      <c r="J98" s="12" t="str">
        <f>IF(B98="","",MAX(I98,_xlfn.MAXIFS(التمديدات!$C$2:$C$301,التمديدات!$A$2:$A$301,B98)))</f>
        <v/>
      </c>
      <c r="K98" s="7" t="str">
        <f t="shared" si="5"/>
        <v/>
      </c>
      <c r="L98" s="26"/>
      <c r="M98" s="27"/>
      <c r="N98" s="10"/>
      <c r="O98" s="10"/>
      <c r="P98" s="10"/>
      <c r="Q98" s="10"/>
      <c r="R98" s="7" t="str">
        <f ca="1">IF(B98="","",IF(Q98&lt;&gt;"",Q98,IF(H98&gt;TODAY(),"لم يبدأ بعد",IF(J98&lt;TODAY(),"منتهٍ",IF(J98-TODAY()&lt;='القوائم والإعدادات'!$E$2,"قريب الانتهاء","ساري")))))</f>
        <v/>
      </c>
      <c r="S98" s="7" t="str">
        <f t="shared" ca="1" si="6"/>
        <v/>
      </c>
      <c r="T98" s="7" t="str">
        <f ca="1">IF(OR(R98="ساري",R98="قريب الانتهاء"),IF(S98&lt;='القوائم والإعدادات'!$E$4,"عاجل",IF(S98&lt;='القوائم والإعدادات'!$E$3,"خلال 60 يوم",IF(S98&lt;='القوائم والإعدادات'!$E$2,"خلال 90 يوم",""))),"")</f>
        <v/>
      </c>
      <c r="U98" s="7" t="str">
        <f>IF(B98="","",COUNTIF(التمديدات!$A$2:$A$301,B98))</f>
        <v/>
      </c>
      <c r="V98" s="10"/>
      <c r="W98" s="10"/>
      <c r="X98" s="7" t="str">
        <f t="shared" si="7"/>
        <v/>
      </c>
    </row>
    <row r="99" spans="1:24">
      <c r="A99" s="7">
        <v>98</v>
      </c>
      <c r="B99" s="10"/>
      <c r="C99" s="10"/>
      <c r="D99" s="10"/>
      <c r="E99" s="10"/>
      <c r="F99" s="10"/>
      <c r="G99" s="11"/>
      <c r="H99" s="11"/>
      <c r="I99" s="11"/>
      <c r="J99" s="12" t="str">
        <f>IF(B99="","",MAX(I99,_xlfn.MAXIFS(التمديدات!$C$2:$C$301,التمديدات!$A$2:$A$301,B99)))</f>
        <v/>
      </c>
      <c r="K99" s="7" t="str">
        <f t="shared" si="5"/>
        <v/>
      </c>
      <c r="L99" s="26"/>
      <c r="M99" s="27"/>
      <c r="N99" s="10"/>
      <c r="O99" s="10"/>
      <c r="P99" s="10"/>
      <c r="Q99" s="10"/>
      <c r="R99" s="7" t="str">
        <f ca="1">IF(B99="","",IF(Q99&lt;&gt;"",Q99,IF(H99&gt;TODAY(),"لم يبدأ بعد",IF(J99&lt;TODAY(),"منتهٍ",IF(J99-TODAY()&lt;='القوائم والإعدادات'!$E$2,"قريب الانتهاء","ساري")))))</f>
        <v/>
      </c>
      <c r="S99" s="7" t="str">
        <f t="shared" ca="1" si="6"/>
        <v/>
      </c>
      <c r="T99" s="7" t="str">
        <f ca="1">IF(OR(R99="ساري",R99="قريب الانتهاء"),IF(S99&lt;='القوائم والإعدادات'!$E$4,"عاجل",IF(S99&lt;='القوائم والإعدادات'!$E$3,"خلال 60 يوم",IF(S99&lt;='القوائم والإعدادات'!$E$2,"خلال 90 يوم",""))),"")</f>
        <v/>
      </c>
      <c r="U99" s="7" t="str">
        <f>IF(B99="","",COUNTIF(التمديدات!$A$2:$A$301,B99))</f>
        <v/>
      </c>
      <c r="V99" s="10"/>
      <c r="W99" s="10"/>
      <c r="X99" s="7" t="str">
        <f t="shared" si="7"/>
        <v/>
      </c>
    </row>
    <row r="100" spans="1:24">
      <c r="A100" s="7">
        <v>99</v>
      </c>
      <c r="B100" s="10"/>
      <c r="C100" s="10"/>
      <c r="D100" s="10"/>
      <c r="E100" s="10"/>
      <c r="F100" s="10"/>
      <c r="G100" s="11"/>
      <c r="H100" s="11"/>
      <c r="I100" s="11"/>
      <c r="J100" s="12" t="str">
        <f>IF(B100="","",MAX(I100,_xlfn.MAXIFS(التمديدات!$C$2:$C$301,التمديدات!$A$2:$A$301,B100)))</f>
        <v/>
      </c>
      <c r="K100" s="7" t="str">
        <f t="shared" si="5"/>
        <v/>
      </c>
      <c r="L100" s="26"/>
      <c r="M100" s="27"/>
      <c r="N100" s="10"/>
      <c r="O100" s="10"/>
      <c r="P100" s="10"/>
      <c r="Q100" s="10"/>
      <c r="R100" s="7" t="str">
        <f ca="1">IF(B100="","",IF(Q100&lt;&gt;"",Q100,IF(H100&gt;TODAY(),"لم يبدأ بعد",IF(J100&lt;TODAY(),"منتهٍ",IF(J100-TODAY()&lt;='القوائم والإعدادات'!$E$2,"قريب الانتهاء","ساري")))))</f>
        <v/>
      </c>
      <c r="S100" s="7" t="str">
        <f t="shared" ca="1" si="6"/>
        <v/>
      </c>
      <c r="T100" s="7" t="str">
        <f ca="1">IF(OR(R100="ساري",R100="قريب الانتهاء"),IF(S100&lt;='القوائم والإعدادات'!$E$4,"عاجل",IF(S100&lt;='القوائم والإعدادات'!$E$3,"خلال 60 يوم",IF(S100&lt;='القوائم والإعدادات'!$E$2,"خلال 90 يوم",""))),"")</f>
        <v/>
      </c>
      <c r="U100" s="7" t="str">
        <f>IF(B100="","",COUNTIF(التمديدات!$A$2:$A$301,B100))</f>
        <v/>
      </c>
      <c r="V100" s="10"/>
      <c r="W100" s="10"/>
      <c r="X100" s="7" t="str">
        <f t="shared" si="7"/>
        <v/>
      </c>
    </row>
    <row r="101" spans="1:24">
      <c r="A101" s="7">
        <v>100</v>
      </c>
      <c r="B101" s="10"/>
      <c r="C101" s="10"/>
      <c r="D101" s="10"/>
      <c r="E101" s="10"/>
      <c r="F101" s="10"/>
      <c r="G101" s="11"/>
      <c r="H101" s="11"/>
      <c r="I101" s="11"/>
      <c r="J101" s="12" t="str">
        <f>IF(B101="","",MAX(I101,_xlfn.MAXIFS(التمديدات!$C$2:$C$301,التمديدات!$A$2:$A$301,B101)))</f>
        <v/>
      </c>
      <c r="K101" s="7" t="str">
        <f t="shared" si="5"/>
        <v/>
      </c>
      <c r="L101" s="26"/>
      <c r="M101" s="27"/>
      <c r="N101" s="10"/>
      <c r="O101" s="10"/>
      <c r="P101" s="10"/>
      <c r="Q101" s="10"/>
      <c r="R101" s="7" t="str">
        <f ca="1">IF(B101="","",IF(Q101&lt;&gt;"",Q101,IF(H101&gt;TODAY(),"لم يبدأ بعد",IF(J101&lt;TODAY(),"منتهٍ",IF(J101-TODAY()&lt;='القوائم والإعدادات'!$E$2,"قريب الانتهاء","ساري")))))</f>
        <v/>
      </c>
      <c r="S101" s="7" t="str">
        <f t="shared" ca="1" si="6"/>
        <v/>
      </c>
      <c r="T101" s="7" t="str">
        <f ca="1">IF(OR(R101="ساري",R101="قريب الانتهاء"),IF(S101&lt;='القوائم والإعدادات'!$E$4,"عاجل",IF(S101&lt;='القوائم والإعدادات'!$E$3,"خلال 60 يوم",IF(S101&lt;='القوائم والإعدادات'!$E$2,"خلال 90 يوم",""))),"")</f>
        <v/>
      </c>
      <c r="U101" s="7" t="str">
        <f>IF(B101="","",COUNTIF(التمديدات!$A$2:$A$301,B101))</f>
        <v/>
      </c>
      <c r="V101" s="10"/>
      <c r="W101" s="10"/>
      <c r="X101" s="7" t="str">
        <f t="shared" si="7"/>
        <v/>
      </c>
    </row>
    <row r="102" spans="1:24">
      <c r="A102" s="7">
        <v>101</v>
      </c>
      <c r="B102" s="10"/>
      <c r="C102" s="10"/>
      <c r="D102" s="10"/>
      <c r="E102" s="10"/>
      <c r="F102" s="10"/>
      <c r="G102" s="11"/>
      <c r="H102" s="11"/>
      <c r="I102" s="11"/>
      <c r="J102" s="12" t="str">
        <f>IF(B102="","",MAX(I102,_xlfn.MAXIFS(التمديدات!$C$2:$C$301,التمديدات!$A$2:$A$301,B102)))</f>
        <v/>
      </c>
      <c r="K102" s="7" t="str">
        <f t="shared" si="5"/>
        <v/>
      </c>
      <c r="L102" s="26"/>
      <c r="M102" s="27"/>
      <c r="N102" s="10"/>
      <c r="O102" s="10"/>
      <c r="P102" s="10"/>
      <c r="Q102" s="10"/>
      <c r="R102" s="7" t="str">
        <f ca="1">IF(B102="","",IF(Q102&lt;&gt;"",Q102,IF(H102&gt;TODAY(),"لم يبدأ بعد",IF(J102&lt;TODAY(),"منتهٍ",IF(J102-TODAY()&lt;='القوائم والإعدادات'!$E$2,"قريب الانتهاء","ساري")))))</f>
        <v/>
      </c>
      <c r="S102" s="7" t="str">
        <f t="shared" ca="1" si="6"/>
        <v/>
      </c>
      <c r="T102" s="7" t="str">
        <f ca="1">IF(OR(R102="ساري",R102="قريب الانتهاء"),IF(S102&lt;='القوائم والإعدادات'!$E$4,"عاجل",IF(S102&lt;='القوائم والإعدادات'!$E$3,"خلال 60 يوم",IF(S102&lt;='القوائم والإعدادات'!$E$2,"خلال 90 يوم",""))),"")</f>
        <v/>
      </c>
      <c r="U102" s="7" t="str">
        <f>IF(B102="","",COUNTIF(التمديدات!$A$2:$A$301,B102))</f>
        <v/>
      </c>
      <c r="V102" s="10"/>
      <c r="W102" s="10"/>
      <c r="X102" s="7" t="str">
        <f t="shared" si="7"/>
        <v/>
      </c>
    </row>
    <row r="103" spans="1:24">
      <c r="A103" s="7">
        <v>102</v>
      </c>
      <c r="B103" s="10"/>
      <c r="C103" s="10"/>
      <c r="D103" s="10"/>
      <c r="E103" s="10"/>
      <c r="F103" s="10"/>
      <c r="G103" s="11"/>
      <c r="H103" s="11"/>
      <c r="I103" s="11"/>
      <c r="J103" s="12" t="str">
        <f>IF(B103="","",MAX(I103,_xlfn.MAXIFS(التمديدات!$C$2:$C$301,التمديدات!$A$2:$A$301,B103)))</f>
        <v/>
      </c>
      <c r="K103" s="7" t="str">
        <f t="shared" si="5"/>
        <v/>
      </c>
      <c r="L103" s="26"/>
      <c r="M103" s="27"/>
      <c r="N103" s="10"/>
      <c r="O103" s="10"/>
      <c r="P103" s="10"/>
      <c r="Q103" s="10"/>
      <c r="R103" s="7" t="str">
        <f ca="1">IF(B103="","",IF(Q103&lt;&gt;"",Q103,IF(H103&gt;TODAY(),"لم يبدأ بعد",IF(J103&lt;TODAY(),"منتهٍ",IF(J103-TODAY()&lt;='القوائم والإعدادات'!$E$2,"قريب الانتهاء","ساري")))))</f>
        <v/>
      </c>
      <c r="S103" s="7" t="str">
        <f t="shared" ca="1" si="6"/>
        <v/>
      </c>
      <c r="T103" s="7" t="str">
        <f ca="1">IF(OR(R103="ساري",R103="قريب الانتهاء"),IF(S103&lt;='القوائم والإعدادات'!$E$4,"عاجل",IF(S103&lt;='القوائم والإعدادات'!$E$3,"خلال 60 يوم",IF(S103&lt;='القوائم والإعدادات'!$E$2,"خلال 90 يوم",""))),"")</f>
        <v/>
      </c>
      <c r="U103" s="7" t="str">
        <f>IF(B103="","",COUNTIF(التمديدات!$A$2:$A$301,B103))</f>
        <v/>
      </c>
      <c r="V103" s="10"/>
      <c r="W103" s="10"/>
      <c r="X103" s="7" t="str">
        <f t="shared" si="7"/>
        <v/>
      </c>
    </row>
    <row r="104" spans="1:24">
      <c r="A104" s="7">
        <v>103</v>
      </c>
      <c r="B104" s="10"/>
      <c r="C104" s="10"/>
      <c r="D104" s="10"/>
      <c r="E104" s="10"/>
      <c r="F104" s="10"/>
      <c r="G104" s="11"/>
      <c r="H104" s="11"/>
      <c r="I104" s="11"/>
      <c r="J104" s="12" t="str">
        <f>IF(B104="","",MAX(I104,_xlfn.MAXIFS(التمديدات!$C$2:$C$301,التمديدات!$A$2:$A$301,B104)))</f>
        <v/>
      </c>
      <c r="K104" s="7" t="str">
        <f t="shared" si="5"/>
        <v/>
      </c>
      <c r="L104" s="26"/>
      <c r="M104" s="27"/>
      <c r="N104" s="10"/>
      <c r="O104" s="10"/>
      <c r="P104" s="10"/>
      <c r="Q104" s="10"/>
      <c r="R104" s="7" t="str">
        <f ca="1">IF(B104="","",IF(Q104&lt;&gt;"",Q104,IF(H104&gt;TODAY(),"لم يبدأ بعد",IF(J104&lt;TODAY(),"منتهٍ",IF(J104-TODAY()&lt;='القوائم والإعدادات'!$E$2,"قريب الانتهاء","ساري")))))</f>
        <v/>
      </c>
      <c r="S104" s="7" t="str">
        <f t="shared" ca="1" si="6"/>
        <v/>
      </c>
      <c r="T104" s="7" t="str">
        <f ca="1">IF(OR(R104="ساري",R104="قريب الانتهاء"),IF(S104&lt;='القوائم والإعدادات'!$E$4,"عاجل",IF(S104&lt;='القوائم والإعدادات'!$E$3,"خلال 60 يوم",IF(S104&lt;='القوائم والإعدادات'!$E$2,"خلال 90 يوم",""))),"")</f>
        <v/>
      </c>
      <c r="U104" s="7" t="str">
        <f>IF(B104="","",COUNTIF(التمديدات!$A$2:$A$301,B104))</f>
        <v/>
      </c>
      <c r="V104" s="10"/>
      <c r="W104" s="10"/>
      <c r="X104" s="7" t="str">
        <f t="shared" si="7"/>
        <v/>
      </c>
    </row>
    <row r="105" spans="1:24">
      <c r="A105" s="7">
        <v>104</v>
      </c>
      <c r="B105" s="10"/>
      <c r="C105" s="10"/>
      <c r="D105" s="10"/>
      <c r="E105" s="10"/>
      <c r="F105" s="10"/>
      <c r="G105" s="11"/>
      <c r="H105" s="11"/>
      <c r="I105" s="11"/>
      <c r="J105" s="12" t="str">
        <f>IF(B105="","",MAX(I105,_xlfn.MAXIFS(التمديدات!$C$2:$C$301,التمديدات!$A$2:$A$301,B105)))</f>
        <v/>
      </c>
      <c r="K105" s="7" t="str">
        <f t="shared" si="5"/>
        <v/>
      </c>
      <c r="L105" s="26"/>
      <c r="M105" s="27"/>
      <c r="N105" s="10"/>
      <c r="O105" s="10"/>
      <c r="P105" s="10"/>
      <c r="Q105" s="10"/>
      <c r="R105" s="7" t="str">
        <f ca="1">IF(B105="","",IF(Q105&lt;&gt;"",Q105,IF(H105&gt;TODAY(),"لم يبدأ بعد",IF(J105&lt;TODAY(),"منتهٍ",IF(J105-TODAY()&lt;='القوائم والإعدادات'!$E$2,"قريب الانتهاء","ساري")))))</f>
        <v/>
      </c>
      <c r="S105" s="7" t="str">
        <f t="shared" ca="1" si="6"/>
        <v/>
      </c>
      <c r="T105" s="7" t="str">
        <f ca="1">IF(OR(R105="ساري",R105="قريب الانتهاء"),IF(S105&lt;='القوائم والإعدادات'!$E$4,"عاجل",IF(S105&lt;='القوائم والإعدادات'!$E$3,"خلال 60 يوم",IF(S105&lt;='القوائم والإعدادات'!$E$2,"خلال 90 يوم",""))),"")</f>
        <v/>
      </c>
      <c r="U105" s="7" t="str">
        <f>IF(B105="","",COUNTIF(التمديدات!$A$2:$A$301,B105))</f>
        <v/>
      </c>
      <c r="V105" s="10"/>
      <c r="W105" s="10"/>
      <c r="X105" s="7" t="str">
        <f t="shared" si="7"/>
        <v/>
      </c>
    </row>
    <row r="106" spans="1:24">
      <c r="A106" s="7">
        <v>105</v>
      </c>
      <c r="B106" s="10"/>
      <c r="C106" s="10"/>
      <c r="D106" s="10"/>
      <c r="E106" s="10"/>
      <c r="F106" s="10"/>
      <c r="G106" s="11"/>
      <c r="H106" s="11"/>
      <c r="I106" s="11"/>
      <c r="J106" s="12" t="str">
        <f>IF(B106="","",MAX(I106,_xlfn.MAXIFS(التمديدات!$C$2:$C$301,التمديدات!$A$2:$A$301,B106)))</f>
        <v/>
      </c>
      <c r="K106" s="7" t="str">
        <f t="shared" si="5"/>
        <v/>
      </c>
      <c r="L106" s="26"/>
      <c r="M106" s="27"/>
      <c r="N106" s="10"/>
      <c r="O106" s="10"/>
      <c r="P106" s="10"/>
      <c r="Q106" s="10"/>
      <c r="R106" s="7" t="str">
        <f ca="1">IF(B106="","",IF(Q106&lt;&gt;"",Q106,IF(H106&gt;TODAY(),"لم يبدأ بعد",IF(J106&lt;TODAY(),"منتهٍ",IF(J106-TODAY()&lt;='القوائم والإعدادات'!$E$2,"قريب الانتهاء","ساري")))))</f>
        <v/>
      </c>
      <c r="S106" s="7" t="str">
        <f t="shared" ca="1" si="6"/>
        <v/>
      </c>
      <c r="T106" s="7" t="str">
        <f ca="1">IF(OR(R106="ساري",R106="قريب الانتهاء"),IF(S106&lt;='القوائم والإعدادات'!$E$4,"عاجل",IF(S106&lt;='القوائم والإعدادات'!$E$3,"خلال 60 يوم",IF(S106&lt;='القوائم والإعدادات'!$E$2,"خلال 90 يوم",""))),"")</f>
        <v/>
      </c>
      <c r="U106" s="7" t="str">
        <f>IF(B106="","",COUNTIF(التمديدات!$A$2:$A$301,B106))</f>
        <v/>
      </c>
      <c r="V106" s="10"/>
      <c r="W106" s="10"/>
      <c r="X106" s="7" t="str">
        <f t="shared" si="7"/>
        <v/>
      </c>
    </row>
    <row r="107" spans="1:24">
      <c r="A107" s="7">
        <v>106</v>
      </c>
      <c r="B107" s="10"/>
      <c r="C107" s="10"/>
      <c r="D107" s="10"/>
      <c r="E107" s="10"/>
      <c r="F107" s="10"/>
      <c r="G107" s="11"/>
      <c r="H107" s="11"/>
      <c r="I107" s="11"/>
      <c r="J107" s="12" t="str">
        <f>IF(B107="","",MAX(I107,_xlfn.MAXIFS(التمديدات!$C$2:$C$301,التمديدات!$A$2:$A$301,B107)))</f>
        <v/>
      </c>
      <c r="K107" s="7" t="str">
        <f t="shared" si="5"/>
        <v/>
      </c>
      <c r="L107" s="26"/>
      <c r="M107" s="27"/>
      <c r="N107" s="10"/>
      <c r="O107" s="10"/>
      <c r="P107" s="10"/>
      <c r="Q107" s="10"/>
      <c r="R107" s="7" t="str">
        <f ca="1">IF(B107="","",IF(Q107&lt;&gt;"",Q107,IF(H107&gt;TODAY(),"لم يبدأ بعد",IF(J107&lt;TODAY(),"منتهٍ",IF(J107-TODAY()&lt;='القوائم والإعدادات'!$E$2,"قريب الانتهاء","ساري")))))</f>
        <v/>
      </c>
      <c r="S107" s="7" t="str">
        <f t="shared" ca="1" si="6"/>
        <v/>
      </c>
      <c r="T107" s="7" t="str">
        <f ca="1">IF(OR(R107="ساري",R107="قريب الانتهاء"),IF(S107&lt;='القوائم والإعدادات'!$E$4,"عاجل",IF(S107&lt;='القوائم والإعدادات'!$E$3,"خلال 60 يوم",IF(S107&lt;='القوائم والإعدادات'!$E$2,"خلال 90 يوم",""))),"")</f>
        <v/>
      </c>
      <c r="U107" s="7" t="str">
        <f>IF(B107="","",COUNTIF(التمديدات!$A$2:$A$301,B107))</f>
        <v/>
      </c>
      <c r="V107" s="10"/>
      <c r="W107" s="10"/>
      <c r="X107" s="7" t="str">
        <f t="shared" si="7"/>
        <v/>
      </c>
    </row>
    <row r="108" spans="1:24">
      <c r="A108" s="7">
        <v>107</v>
      </c>
      <c r="B108" s="10"/>
      <c r="C108" s="10"/>
      <c r="D108" s="10"/>
      <c r="E108" s="10"/>
      <c r="F108" s="10"/>
      <c r="G108" s="11"/>
      <c r="H108" s="11"/>
      <c r="I108" s="11"/>
      <c r="J108" s="12" t="str">
        <f>IF(B108="","",MAX(I108,_xlfn.MAXIFS(التمديدات!$C$2:$C$301,التمديدات!$A$2:$A$301,B108)))</f>
        <v/>
      </c>
      <c r="K108" s="7" t="str">
        <f t="shared" si="5"/>
        <v/>
      </c>
      <c r="L108" s="26"/>
      <c r="M108" s="27"/>
      <c r="N108" s="10"/>
      <c r="O108" s="10"/>
      <c r="P108" s="10"/>
      <c r="Q108" s="10"/>
      <c r="R108" s="7" t="str">
        <f ca="1">IF(B108="","",IF(Q108&lt;&gt;"",Q108,IF(H108&gt;TODAY(),"لم يبدأ بعد",IF(J108&lt;TODAY(),"منتهٍ",IF(J108-TODAY()&lt;='القوائم والإعدادات'!$E$2,"قريب الانتهاء","ساري")))))</f>
        <v/>
      </c>
      <c r="S108" s="7" t="str">
        <f t="shared" ca="1" si="6"/>
        <v/>
      </c>
      <c r="T108" s="7" t="str">
        <f ca="1">IF(OR(R108="ساري",R108="قريب الانتهاء"),IF(S108&lt;='القوائم والإعدادات'!$E$4,"عاجل",IF(S108&lt;='القوائم والإعدادات'!$E$3,"خلال 60 يوم",IF(S108&lt;='القوائم والإعدادات'!$E$2,"خلال 90 يوم",""))),"")</f>
        <v/>
      </c>
      <c r="U108" s="7" t="str">
        <f>IF(B108="","",COUNTIF(التمديدات!$A$2:$A$301,B108))</f>
        <v/>
      </c>
      <c r="V108" s="10"/>
      <c r="W108" s="10"/>
      <c r="X108" s="7" t="str">
        <f t="shared" si="7"/>
        <v/>
      </c>
    </row>
    <row r="109" spans="1:24">
      <c r="A109" s="7">
        <v>108</v>
      </c>
      <c r="B109" s="10"/>
      <c r="C109" s="10"/>
      <c r="D109" s="10"/>
      <c r="E109" s="10"/>
      <c r="F109" s="10"/>
      <c r="G109" s="11"/>
      <c r="H109" s="11"/>
      <c r="I109" s="11"/>
      <c r="J109" s="12" t="str">
        <f>IF(B109="","",MAX(I109,_xlfn.MAXIFS(التمديدات!$C$2:$C$301,التمديدات!$A$2:$A$301,B109)))</f>
        <v/>
      </c>
      <c r="K109" s="7" t="str">
        <f t="shared" si="5"/>
        <v/>
      </c>
      <c r="L109" s="26"/>
      <c r="M109" s="27"/>
      <c r="N109" s="10"/>
      <c r="O109" s="10"/>
      <c r="P109" s="10"/>
      <c r="Q109" s="10"/>
      <c r="R109" s="7" t="str">
        <f ca="1">IF(B109="","",IF(Q109&lt;&gt;"",Q109,IF(H109&gt;TODAY(),"لم يبدأ بعد",IF(J109&lt;TODAY(),"منتهٍ",IF(J109-TODAY()&lt;='القوائم والإعدادات'!$E$2,"قريب الانتهاء","ساري")))))</f>
        <v/>
      </c>
      <c r="S109" s="7" t="str">
        <f t="shared" ca="1" si="6"/>
        <v/>
      </c>
      <c r="T109" s="7" t="str">
        <f ca="1">IF(OR(R109="ساري",R109="قريب الانتهاء"),IF(S109&lt;='القوائم والإعدادات'!$E$4,"عاجل",IF(S109&lt;='القوائم والإعدادات'!$E$3,"خلال 60 يوم",IF(S109&lt;='القوائم والإعدادات'!$E$2,"خلال 90 يوم",""))),"")</f>
        <v/>
      </c>
      <c r="U109" s="7" t="str">
        <f>IF(B109="","",COUNTIF(التمديدات!$A$2:$A$301,B109))</f>
        <v/>
      </c>
      <c r="V109" s="10"/>
      <c r="W109" s="10"/>
      <c r="X109" s="7" t="str">
        <f t="shared" si="7"/>
        <v/>
      </c>
    </row>
    <row r="110" spans="1:24">
      <c r="A110" s="7">
        <v>109</v>
      </c>
      <c r="B110" s="10"/>
      <c r="C110" s="10"/>
      <c r="D110" s="10"/>
      <c r="E110" s="10"/>
      <c r="F110" s="10"/>
      <c r="G110" s="11"/>
      <c r="H110" s="11"/>
      <c r="I110" s="11"/>
      <c r="J110" s="12" t="str">
        <f>IF(B110="","",MAX(I110,_xlfn.MAXIFS(التمديدات!$C$2:$C$301,التمديدات!$A$2:$A$301,B110)))</f>
        <v/>
      </c>
      <c r="K110" s="7" t="str">
        <f t="shared" si="5"/>
        <v/>
      </c>
      <c r="L110" s="26"/>
      <c r="M110" s="27"/>
      <c r="N110" s="10"/>
      <c r="O110" s="10"/>
      <c r="P110" s="10"/>
      <c r="Q110" s="10"/>
      <c r="R110" s="7" t="str">
        <f ca="1">IF(B110="","",IF(Q110&lt;&gt;"",Q110,IF(H110&gt;TODAY(),"لم يبدأ بعد",IF(J110&lt;TODAY(),"منتهٍ",IF(J110-TODAY()&lt;='القوائم والإعدادات'!$E$2,"قريب الانتهاء","ساري")))))</f>
        <v/>
      </c>
      <c r="S110" s="7" t="str">
        <f t="shared" ca="1" si="6"/>
        <v/>
      </c>
      <c r="T110" s="7" t="str">
        <f ca="1">IF(OR(R110="ساري",R110="قريب الانتهاء"),IF(S110&lt;='القوائم والإعدادات'!$E$4,"عاجل",IF(S110&lt;='القوائم والإعدادات'!$E$3,"خلال 60 يوم",IF(S110&lt;='القوائم والإعدادات'!$E$2,"خلال 90 يوم",""))),"")</f>
        <v/>
      </c>
      <c r="U110" s="7" t="str">
        <f>IF(B110="","",COUNTIF(التمديدات!$A$2:$A$301,B110))</f>
        <v/>
      </c>
      <c r="V110" s="10"/>
      <c r="W110" s="10"/>
      <c r="X110" s="7" t="str">
        <f t="shared" si="7"/>
        <v/>
      </c>
    </row>
    <row r="111" spans="1:24">
      <c r="A111" s="7">
        <v>110</v>
      </c>
      <c r="B111" s="10"/>
      <c r="C111" s="10"/>
      <c r="D111" s="10"/>
      <c r="E111" s="10"/>
      <c r="F111" s="10"/>
      <c r="G111" s="11"/>
      <c r="H111" s="11"/>
      <c r="I111" s="11"/>
      <c r="J111" s="12" t="str">
        <f>IF(B111="","",MAX(I111,_xlfn.MAXIFS(التمديدات!$C$2:$C$301,التمديدات!$A$2:$A$301,B111)))</f>
        <v/>
      </c>
      <c r="K111" s="7" t="str">
        <f t="shared" si="5"/>
        <v/>
      </c>
      <c r="L111" s="26"/>
      <c r="M111" s="27"/>
      <c r="N111" s="10"/>
      <c r="O111" s="10"/>
      <c r="P111" s="10"/>
      <c r="Q111" s="10"/>
      <c r="R111" s="7" t="str">
        <f ca="1">IF(B111="","",IF(Q111&lt;&gt;"",Q111,IF(H111&gt;TODAY(),"لم يبدأ بعد",IF(J111&lt;TODAY(),"منتهٍ",IF(J111-TODAY()&lt;='القوائم والإعدادات'!$E$2,"قريب الانتهاء","ساري")))))</f>
        <v/>
      </c>
      <c r="S111" s="7" t="str">
        <f t="shared" ca="1" si="6"/>
        <v/>
      </c>
      <c r="T111" s="7" t="str">
        <f ca="1">IF(OR(R111="ساري",R111="قريب الانتهاء"),IF(S111&lt;='القوائم والإعدادات'!$E$4,"عاجل",IF(S111&lt;='القوائم والإعدادات'!$E$3,"خلال 60 يوم",IF(S111&lt;='القوائم والإعدادات'!$E$2,"خلال 90 يوم",""))),"")</f>
        <v/>
      </c>
      <c r="U111" s="7" t="str">
        <f>IF(B111="","",COUNTIF(التمديدات!$A$2:$A$301,B111))</f>
        <v/>
      </c>
      <c r="V111" s="10"/>
      <c r="W111" s="10"/>
      <c r="X111" s="7" t="str">
        <f t="shared" si="7"/>
        <v/>
      </c>
    </row>
    <row r="112" spans="1:24">
      <c r="A112" s="7">
        <v>111</v>
      </c>
      <c r="B112" s="10"/>
      <c r="C112" s="10"/>
      <c r="D112" s="10"/>
      <c r="E112" s="10"/>
      <c r="F112" s="10"/>
      <c r="G112" s="11"/>
      <c r="H112" s="11"/>
      <c r="I112" s="11"/>
      <c r="J112" s="12" t="str">
        <f>IF(B112="","",MAX(I112,_xlfn.MAXIFS(التمديدات!$C$2:$C$301,التمديدات!$A$2:$A$301,B112)))</f>
        <v/>
      </c>
      <c r="K112" s="7" t="str">
        <f t="shared" si="5"/>
        <v/>
      </c>
      <c r="L112" s="26"/>
      <c r="M112" s="27"/>
      <c r="N112" s="10"/>
      <c r="O112" s="10"/>
      <c r="P112" s="10"/>
      <c r="Q112" s="10"/>
      <c r="R112" s="7" t="str">
        <f ca="1">IF(B112="","",IF(Q112&lt;&gt;"",Q112,IF(H112&gt;TODAY(),"لم يبدأ بعد",IF(J112&lt;TODAY(),"منتهٍ",IF(J112-TODAY()&lt;='القوائم والإعدادات'!$E$2,"قريب الانتهاء","ساري")))))</f>
        <v/>
      </c>
      <c r="S112" s="7" t="str">
        <f t="shared" ca="1" si="6"/>
        <v/>
      </c>
      <c r="T112" s="7" t="str">
        <f ca="1">IF(OR(R112="ساري",R112="قريب الانتهاء"),IF(S112&lt;='القوائم والإعدادات'!$E$4,"عاجل",IF(S112&lt;='القوائم والإعدادات'!$E$3,"خلال 60 يوم",IF(S112&lt;='القوائم والإعدادات'!$E$2,"خلال 90 يوم",""))),"")</f>
        <v/>
      </c>
      <c r="U112" s="7" t="str">
        <f>IF(B112="","",COUNTIF(التمديدات!$A$2:$A$301,B112))</f>
        <v/>
      </c>
      <c r="V112" s="10"/>
      <c r="W112" s="10"/>
      <c r="X112" s="7" t="str">
        <f t="shared" si="7"/>
        <v/>
      </c>
    </row>
    <row r="113" spans="1:24">
      <c r="A113" s="7">
        <v>112</v>
      </c>
      <c r="B113" s="10"/>
      <c r="C113" s="10"/>
      <c r="D113" s="10"/>
      <c r="E113" s="10"/>
      <c r="F113" s="10"/>
      <c r="G113" s="11"/>
      <c r="H113" s="11"/>
      <c r="I113" s="11"/>
      <c r="J113" s="12" t="str">
        <f>IF(B113="","",MAX(I113,_xlfn.MAXIFS(التمديدات!$C$2:$C$301,التمديدات!$A$2:$A$301,B113)))</f>
        <v/>
      </c>
      <c r="K113" s="7" t="str">
        <f t="shared" si="5"/>
        <v/>
      </c>
      <c r="L113" s="26"/>
      <c r="M113" s="27"/>
      <c r="N113" s="10"/>
      <c r="O113" s="10"/>
      <c r="P113" s="10"/>
      <c r="Q113" s="10"/>
      <c r="R113" s="7" t="str">
        <f ca="1">IF(B113="","",IF(Q113&lt;&gt;"",Q113,IF(H113&gt;TODAY(),"لم يبدأ بعد",IF(J113&lt;TODAY(),"منتهٍ",IF(J113-TODAY()&lt;='القوائم والإعدادات'!$E$2,"قريب الانتهاء","ساري")))))</f>
        <v/>
      </c>
      <c r="S113" s="7" t="str">
        <f t="shared" ca="1" si="6"/>
        <v/>
      </c>
      <c r="T113" s="7" t="str">
        <f ca="1">IF(OR(R113="ساري",R113="قريب الانتهاء"),IF(S113&lt;='القوائم والإعدادات'!$E$4,"عاجل",IF(S113&lt;='القوائم والإعدادات'!$E$3,"خلال 60 يوم",IF(S113&lt;='القوائم والإعدادات'!$E$2,"خلال 90 يوم",""))),"")</f>
        <v/>
      </c>
      <c r="U113" s="7" t="str">
        <f>IF(B113="","",COUNTIF(التمديدات!$A$2:$A$301,B113))</f>
        <v/>
      </c>
      <c r="V113" s="10"/>
      <c r="W113" s="10"/>
      <c r="X113" s="7" t="str">
        <f t="shared" si="7"/>
        <v/>
      </c>
    </row>
    <row r="114" spans="1:24">
      <c r="A114" s="7">
        <v>113</v>
      </c>
      <c r="B114" s="10"/>
      <c r="C114" s="10"/>
      <c r="D114" s="10"/>
      <c r="E114" s="10"/>
      <c r="F114" s="10"/>
      <c r="G114" s="11"/>
      <c r="H114" s="11"/>
      <c r="I114" s="11"/>
      <c r="J114" s="12" t="str">
        <f>IF(B114="","",MAX(I114,_xlfn.MAXIFS(التمديدات!$C$2:$C$301,التمديدات!$A$2:$A$301,B114)))</f>
        <v/>
      </c>
      <c r="K114" s="7" t="str">
        <f t="shared" si="5"/>
        <v/>
      </c>
      <c r="L114" s="26"/>
      <c r="M114" s="27"/>
      <c r="N114" s="10"/>
      <c r="O114" s="10"/>
      <c r="P114" s="10"/>
      <c r="Q114" s="10"/>
      <c r="R114" s="7" t="str">
        <f ca="1">IF(B114="","",IF(Q114&lt;&gt;"",Q114,IF(H114&gt;TODAY(),"لم يبدأ بعد",IF(J114&lt;TODAY(),"منتهٍ",IF(J114-TODAY()&lt;='القوائم والإعدادات'!$E$2,"قريب الانتهاء","ساري")))))</f>
        <v/>
      </c>
      <c r="S114" s="7" t="str">
        <f t="shared" ca="1" si="6"/>
        <v/>
      </c>
      <c r="T114" s="7" t="str">
        <f ca="1">IF(OR(R114="ساري",R114="قريب الانتهاء"),IF(S114&lt;='القوائم والإعدادات'!$E$4,"عاجل",IF(S114&lt;='القوائم والإعدادات'!$E$3,"خلال 60 يوم",IF(S114&lt;='القوائم والإعدادات'!$E$2,"خلال 90 يوم",""))),"")</f>
        <v/>
      </c>
      <c r="U114" s="7" t="str">
        <f>IF(B114="","",COUNTIF(التمديدات!$A$2:$A$301,B114))</f>
        <v/>
      </c>
      <c r="V114" s="10"/>
      <c r="W114" s="10"/>
      <c r="X114" s="7" t="str">
        <f t="shared" si="7"/>
        <v/>
      </c>
    </row>
    <row r="115" spans="1:24">
      <c r="A115" s="7">
        <v>114</v>
      </c>
      <c r="B115" s="10"/>
      <c r="C115" s="10"/>
      <c r="D115" s="10"/>
      <c r="E115" s="10"/>
      <c r="F115" s="10"/>
      <c r="G115" s="11"/>
      <c r="H115" s="11"/>
      <c r="I115" s="11"/>
      <c r="J115" s="12" t="str">
        <f>IF(B115="","",MAX(I115,_xlfn.MAXIFS(التمديدات!$C$2:$C$301,التمديدات!$A$2:$A$301,B115)))</f>
        <v/>
      </c>
      <c r="K115" s="7" t="str">
        <f t="shared" si="5"/>
        <v/>
      </c>
      <c r="L115" s="26"/>
      <c r="M115" s="27"/>
      <c r="N115" s="10"/>
      <c r="O115" s="10"/>
      <c r="P115" s="10"/>
      <c r="Q115" s="10"/>
      <c r="R115" s="7" t="str">
        <f ca="1">IF(B115="","",IF(Q115&lt;&gt;"",Q115,IF(H115&gt;TODAY(),"لم يبدأ بعد",IF(J115&lt;TODAY(),"منتهٍ",IF(J115-TODAY()&lt;='القوائم والإعدادات'!$E$2,"قريب الانتهاء","ساري")))))</f>
        <v/>
      </c>
      <c r="S115" s="7" t="str">
        <f t="shared" ca="1" si="6"/>
        <v/>
      </c>
      <c r="T115" s="7" t="str">
        <f ca="1">IF(OR(R115="ساري",R115="قريب الانتهاء"),IF(S115&lt;='القوائم والإعدادات'!$E$4,"عاجل",IF(S115&lt;='القوائم والإعدادات'!$E$3,"خلال 60 يوم",IF(S115&lt;='القوائم والإعدادات'!$E$2,"خلال 90 يوم",""))),"")</f>
        <v/>
      </c>
      <c r="U115" s="7" t="str">
        <f>IF(B115="","",COUNTIF(التمديدات!$A$2:$A$301,B115))</f>
        <v/>
      </c>
      <c r="V115" s="10"/>
      <c r="W115" s="10"/>
      <c r="X115" s="7" t="str">
        <f t="shared" si="7"/>
        <v/>
      </c>
    </row>
    <row r="116" spans="1:24">
      <c r="A116" s="7">
        <v>115</v>
      </c>
      <c r="B116" s="10"/>
      <c r="C116" s="10"/>
      <c r="D116" s="10"/>
      <c r="E116" s="10"/>
      <c r="F116" s="10"/>
      <c r="G116" s="11"/>
      <c r="H116" s="11"/>
      <c r="I116" s="11"/>
      <c r="J116" s="12" t="str">
        <f>IF(B116="","",MAX(I116,_xlfn.MAXIFS(التمديدات!$C$2:$C$301,التمديدات!$A$2:$A$301,B116)))</f>
        <v/>
      </c>
      <c r="K116" s="7" t="str">
        <f t="shared" si="5"/>
        <v/>
      </c>
      <c r="L116" s="26"/>
      <c r="M116" s="27"/>
      <c r="N116" s="10"/>
      <c r="O116" s="10"/>
      <c r="P116" s="10"/>
      <c r="Q116" s="10"/>
      <c r="R116" s="7" t="str">
        <f ca="1">IF(B116="","",IF(Q116&lt;&gt;"",Q116,IF(H116&gt;TODAY(),"لم يبدأ بعد",IF(J116&lt;TODAY(),"منتهٍ",IF(J116-TODAY()&lt;='القوائم والإعدادات'!$E$2,"قريب الانتهاء","ساري")))))</f>
        <v/>
      </c>
      <c r="S116" s="7" t="str">
        <f t="shared" ca="1" si="6"/>
        <v/>
      </c>
      <c r="T116" s="7" t="str">
        <f ca="1">IF(OR(R116="ساري",R116="قريب الانتهاء"),IF(S116&lt;='القوائم والإعدادات'!$E$4,"عاجل",IF(S116&lt;='القوائم والإعدادات'!$E$3,"خلال 60 يوم",IF(S116&lt;='القوائم والإعدادات'!$E$2,"خلال 90 يوم",""))),"")</f>
        <v/>
      </c>
      <c r="U116" s="7" t="str">
        <f>IF(B116="","",COUNTIF(التمديدات!$A$2:$A$301,B116))</f>
        <v/>
      </c>
      <c r="V116" s="10"/>
      <c r="W116" s="10"/>
      <c r="X116" s="7" t="str">
        <f t="shared" si="7"/>
        <v/>
      </c>
    </row>
    <row r="117" spans="1:24">
      <c r="A117" s="7">
        <v>116</v>
      </c>
      <c r="B117" s="10"/>
      <c r="C117" s="10"/>
      <c r="D117" s="10"/>
      <c r="E117" s="10"/>
      <c r="F117" s="10"/>
      <c r="G117" s="11"/>
      <c r="H117" s="11"/>
      <c r="I117" s="11"/>
      <c r="J117" s="12" t="str">
        <f>IF(B117="","",MAX(I117,_xlfn.MAXIFS(التمديدات!$C$2:$C$301,التمديدات!$A$2:$A$301,B117)))</f>
        <v/>
      </c>
      <c r="K117" s="7" t="str">
        <f t="shared" si="5"/>
        <v/>
      </c>
      <c r="L117" s="26"/>
      <c r="M117" s="27"/>
      <c r="N117" s="10"/>
      <c r="O117" s="10"/>
      <c r="P117" s="10"/>
      <c r="Q117" s="10"/>
      <c r="R117" s="7" t="str">
        <f ca="1">IF(B117="","",IF(Q117&lt;&gt;"",Q117,IF(H117&gt;TODAY(),"لم يبدأ بعد",IF(J117&lt;TODAY(),"منتهٍ",IF(J117-TODAY()&lt;='القوائم والإعدادات'!$E$2,"قريب الانتهاء","ساري")))))</f>
        <v/>
      </c>
      <c r="S117" s="7" t="str">
        <f t="shared" ca="1" si="6"/>
        <v/>
      </c>
      <c r="T117" s="7" t="str">
        <f ca="1">IF(OR(R117="ساري",R117="قريب الانتهاء"),IF(S117&lt;='القوائم والإعدادات'!$E$4,"عاجل",IF(S117&lt;='القوائم والإعدادات'!$E$3,"خلال 60 يوم",IF(S117&lt;='القوائم والإعدادات'!$E$2,"خلال 90 يوم",""))),"")</f>
        <v/>
      </c>
      <c r="U117" s="7" t="str">
        <f>IF(B117="","",COUNTIF(التمديدات!$A$2:$A$301,B117))</f>
        <v/>
      </c>
      <c r="V117" s="10"/>
      <c r="W117" s="10"/>
      <c r="X117" s="7" t="str">
        <f t="shared" si="7"/>
        <v/>
      </c>
    </row>
    <row r="118" spans="1:24">
      <c r="A118" s="7">
        <v>117</v>
      </c>
      <c r="B118" s="10"/>
      <c r="C118" s="10"/>
      <c r="D118" s="10"/>
      <c r="E118" s="10"/>
      <c r="F118" s="10"/>
      <c r="G118" s="11"/>
      <c r="H118" s="11"/>
      <c r="I118" s="11"/>
      <c r="J118" s="12" t="str">
        <f>IF(B118="","",MAX(I118,_xlfn.MAXIFS(التمديدات!$C$2:$C$301,التمديدات!$A$2:$A$301,B118)))</f>
        <v/>
      </c>
      <c r="K118" s="7" t="str">
        <f t="shared" si="5"/>
        <v/>
      </c>
      <c r="L118" s="26"/>
      <c r="M118" s="27"/>
      <c r="N118" s="10"/>
      <c r="O118" s="10"/>
      <c r="P118" s="10"/>
      <c r="Q118" s="10"/>
      <c r="R118" s="7" t="str">
        <f ca="1">IF(B118="","",IF(Q118&lt;&gt;"",Q118,IF(H118&gt;TODAY(),"لم يبدأ بعد",IF(J118&lt;TODAY(),"منتهٍ",IF(J118-TODAY()&lt;='القوائم والإعدادات'!$E$2,"قريب الانتهاء","ساري")))))</f>
        <v/>
      </c>
      <c r="S118" s="7" t="str">
        <f t="shared" ca="1" si="6"/>
        <v/>
      </c>
      <c r="T118" s="7" t="str">
        <f ca="1">IF(OR(R118="ساري",R118="قريب الانتهاء"),IF(S118&lt;='القوائم والإعدادات'!$E$4,"عاجل",IF(S118&lt;='القوائم والإعدادات'!$E$3,"خلال 60 يوم",IF(S118&lt;='القوائم والإعدادات'!$E$2,"خلال 90 يوم",""))),"")</f>
        <v/>
      </c>
      <c r="U118" s="7" t="str">
        <f>IF(B118="","",COUNTIF(التمديدات!$A$2:$A$301,B118))</f>
        <v/>
      </c>
      <c r="V118" s="10"/>
      <c r="W118" s="10"/>
      <c r="X118" s="7" t="str">
        <f t="shared" si="7"/>
        <v/>
      </c>
    </row>
    <row r="119" spans="1:24">
      <c r="A119" s="7">
        <v>118</v>
      </c>
      <c r="B119" s="10"/>
      <c r="C119" s="10"/>
      <c r="D119" s="10"/>
      <c r="E119" s="10"/>
      <c r="F119" s="10"/>
      <c r="G119" s="11"/>
      <c r="H119" s="11"/>
      <c r="I119" s="11"/>
      <c r="J119" s="12" t="str">
        <f>IF(B119="","",MAX(I119,_xlfn.MAXIFS(التمديدات!$C$2:$C$301,التمديدات!$A$2:$A$301,B119)))</f>
        <v/>
      </c>
      <c r="K119" s="7" t="str">
        <f t="shared" si="5"/>
        <v/>
      </c>
      <c r="L119" s="26"/>
      <c r="M119" s="27"/>
      <c r="N119" s="10"/>
      <c r="O119" s="10"/>
      <c r="P119" s="10"/>
      <c r="Q119" s="10"/>
      <c r="R119" s="7" t="str">
        <f ca="1">IF(B119="","",IF(Q119&lt;&gt;"",Q119,IF(H119&gt;TODAY(),"لم يبدأ بعد",IF(J119&lt;TODAY(),"منتهٍ",IF(J119-TODAY()&lt;='القوائم والإعدادات'!$E$2,"قريب الانتهاء","ساري")))))</f>
        <v/>
      </c>
      <c r="S119" s="7" t="str">
        <f t="shared" ca="1" si="6"/>
        <v/>
      </c>
      <c r="T119" s="7" t="str">
        <f ca="1">IF(OR(R119="ساري",R119="قريب الانتهاء"),IF(S119&lt;='القوائم والإعدادات'!$E$4,"عاجل",IF(S119&lt;='القوائم والإعدادات'!$E$3,"خلال 60 يوم",IF(S119&lt;='القوائم والإعدادات'!$E$2,"خلال 90 يوم",""))),"")</f>
        <v/>
      </c>
      <c r="U119" s="7" t="str">
        <f>IF(B119="","",COUNTIF(التمديدات!$A$2:$A$301,B119))</f>
        <v/>
      </c>
      <c r="V119" s="10"/>
      <c r="W119" s="10"/>
      <c r="X119" s="7" t="str">
        <f t="shared" si="7"/>
        <v/>
      </c>
    </row>
    <row r="120" spans="1:24">
      <c r="A120" s="7">
        <v>119</v>
      </c>
      <c r="B120" s="10"/>
      <c r="C120" s="10"/>
      <c r="D120" s="10"/>
      <c r="E120" s="10"/>
      <c r="F120" s="10"/>
      <c r="G120" s="11"/>
      <c r="H120" s="11"/>
      <c r="I120" s="11"/>
      <c r="J120" s="12" t="str">
        <f>IF(B120="","",MAX(I120,_xlfn.MAXIFS(التمديدات!$C$2:$C$301,التمديدات!$A$2:$A$301,B120)))</f>
        <v/>
      </c>
      <c r="K120" s="7" t="str">
        <f t="shared" si="5"/>
        <v/>
      </c>
      <c r="L120" s="26"/>
      <c r="M120" s="27"/>
      <c r="N120" s="10"/>
      <c r="O120" s="10"/>
      <c r="P120" s="10"/>
      <c r="Q120" s="10"/>
      <c r="R120" s="7" t="str">
        <f ca="1">IF(B120="","",IF(Q120&lt;&gt;"",Q120,IF(H120&gt;TODAY(),"لم يبدأ بعد",IF(J120&lt;TODAY(),"منتهٍ",IF(J120-TODAY()&lt;='القوائم والإعدادات'!$E$2,"قريب الانتهاء","ساري")))))</f>
        <v/>
      </c>
      <c r="S120" s="7" t="str">
        <f t="shared" ca="1" si="6"/>
        <v/>
      </c>
      <c r="T120" s="7" t="str">
        <f ca="1">IF(OR(R120="ساري",R120="قريب الانتهاء"),IF(S120&lt;='القوائم والإعدادات'!$E$4,"عاجل",IF(S120&lt;='القوائم والإعدادات'!$E$3,"خلال 60 يوم",IF(S120&lt;='القوائم والإعدادات'!$E$2,"خلال 90 يوم",""))),"")</f>
        <v/>
      </c>
      <c r="U120" s="7" t="str">
        <f>IF(B120="","",COUNTIF(التمديدات!$A$2:$A$301,B120))</f>
        <v/>
      </c>
      <c r="V120" s="10"/>
      <c r="W120" s="10"/>
      <c r="X120" s="7" t="str">
        <f t="shared" si="7"/>
        <v/>
      </c>
    </row>
    <row r="121" spans="1:24">
      <c r="A121" s="7">
        <v>120</v>
      </c>
      <c r="B121" s="10"/>
      <c r="C121" s="10"/>
      <c r="D121" s="10"/>
      <c r="E121" s="10"/>
      <c r="F121" s="10"/>
      <c r="G121" s="11"/>
      <c r="H121" s="11"/>
      <c r="I121" s="11"/>
      <c r="J121" s="12" t="str">
        <f>IF(B121="","",MAX(I121,_xlfn.MAXIFS(التمديدات!$C$2:$C$301,التمديدات!$A$2:$A$301,B121)))</f>
        <v/>
      </c>
      <c r="K121" s="7" t="str">
        <f t="shared" si="5"/>
        <v/>
      </c>
      <c r="L121" s="26"/>
      <c r="M121" s="27"/>
      <c r="N121" s="10"/>
      <c r="O121" s="10"/>
      <c r="P121" s="10"/>
      <c r="Q121" s="10"/>
      <c r="R121" s="7" t="str">
        <f ca="1">IF(B121="","",IF(Q121&lt;&gt;"",Q121,IF(H121&gt;TODAY(),"لم يبدأ بعد",IF(J121&lt;TODAY(),"منتهٍ",IF(J121-TODAY()&lt;='القوائم والإعدادات'!$E$2,"قريب الانتهاء","ساري")))))</f>
        <v/>
      </c>
      <c r="S121" s="7" t="str">
        <f t="shared" ca="1" si="6"/>
        <v/>
      </c>
      <c r="T121" s="7" t="str">
        <f ca="1">IF(OR(R121="ساري",R121="قريب الانتهاء"),IF(S121&lt;='القوائم والإعدادات'!$E$4,"عاجل",IF(S121&lt;='القوائم والإعدادات'!$E$3,"خلال 60 يوم",IF(S121&lt;='القوائم والإعدادات'!$E$2,"خلال 90 يوم",""))),"")</f>
        <v/>
      </c>
      <c r="U121" s="7" t="str">
        <f>IF(B121="","",COUNTIF(التمديدات!$A$2:$A$301,B121))</f>
        <v/>
      </c>
      <c r="V121" s="10"/>
      <c r="W121" s="10"/>
      <c r="X121" s="7" t="str">
        <f t="shared" si="7"/>
        <v/>
      </c>
    </row>
    <row r="122" spans="1:24">
      <c r="A122" s="7">
        <v>121</v>
      </c>
      <c r="B122" s="10"/>
      <c r="C122" s="10"/>
      <c r="D122" s="10"/>
      <c r="E122" s="10"/>
      <c r="F122" s="10"/>
      <c r="G122" s="11"/>
      <c r="H122" s="11"/>
      <c r="I122" s="11"/>
      <c r="J122" s="12" t="str">
        <f>IF(B122="","",MAX(I122,_xlfn.MAXIFS(التمديدات!$C$2:$C$301,التمديدات!$A$2:$A$301,B122)))</f>
        <v/>
      </c>
      <c r="K122" s="7" t="str">
        <f t="shared" si="5"/>
        <v/>
      </c>
      <c r="L122" s="26"/>
      <c r="M122" s="27"/>
      <c r="N122" s="10"/>
      <c r="O122" s="10"/>
      <c r="P122" s="10"/>
      <c r="Q122" s="10"/>
      <c r="R122" s="7" t="str">
        <f ca="1">IF(B122="","",IF(Q122&lt;&gt;"",Q122,IF(H122&gt;TODAY(),"لم يبدأ بعد",IF(J122&lt;TODAY(),"منتهٍ",IF(J122-TODAY()&lt;='القوائم والإعدادات'!$E$2,"قريب الانتهاء","ساري")))))</f>
        <v/>
      </c>
      <c r="S122" s="7" t="str">
        <f t="shared" ca="1" si="6"/>
        <v/>
      </c>
      <c r="T122" s="7" t="str">
        <f ca="1">IF(OR(R122="ساري",R122="قريب الانتهاء"),IF(S122&lt;='القوائم والإعدادات'!$E$4,"عاجل",IF(S122&lt;='القوائم والإعدادات'!$E$3,"خلال 60 يوم",IF(S122&lt;='القوائم والإعدادات'!$E$2,"خلال 90 يوم",""))),"")</f>
        <v/>
      </c>
      <c r="U122" s="7" t="str">
        <f>IF(B122="","",COUNTIF(التمديدات!$A$2:$A$301,B122))</f>
        <v/>
      </c>
      <c r="V122" s="10"/>
      <c r="W122" s="10"/>
      <c r="X122" s="7" t="str">
        <f t="shared" si="7"/>
        <v/>
      </c>
    </row>
    <row r="123" spans="1:24">
      <c r="A123" s="7">
        <v>122</v>
      </c>
      <c r="B123" s="10"/>
      <c r="C123" s="10"/>
      <c r="D123" s="10"/>
      <c r="E123" s="10"/>
      <c r="F123" s="10"/>
      <c r="G123" s="11"/>
      <c r="H123" s="11"/>
      <c r="I123" s="11"/>
      <c r="J123" s="12" t="str">
        <f>IF(B123="","",MAX(I123,_xlfn.MAXIFS(التمديدات!$C$2:$C$301,التمديدات!$A$2:$A$301,B123)))</f>
        <v/>
      </c>
      <c r="K123" s="7" t="str">
        <f t="shared" si="5"/>
        <v/>
      </c>
      <c r="L123" s="26"/>
      <c r="M123" s="27"/>
      <c r="N123" s="10"/>
      <c r="O123" s="10"/>
      <c r="P123" s="10"/>
      <c r="Q123" s="10"/>
      <c r="R123" s="7" t="str">
        <f ca="1">IF(B123="","",IF(Q123&lt;&gt;"",Q123,IF(H123&gt;TODAY(),"لم يبدأ بعد",IF(J123&lt;TODAY(),"منتهٍ",IF(J123-TODAY()&lt;='القوائم والإعدادات'!$E$2,"قريب الانتهاء","ساري")))))</f>
        <v/>
      </c>
      <c r="S123" s="7" t="str">
        <f t="shared" ca="1" si="6"/>
        <v/>
      </c>
      <c r="T123" s="7" t="str">
        <f ca="1">IF(OR(R123="ساري",R123="قريب الانتهاء"),IF(S123&lt;='القوائم والإعدادات'!$E$4,"عاجل",IF(S123&lt;='القوائم والإعدادات'!$E$3,"خلال 60 يوم",IF(S123&lt;='القوائم والإعدادات'!$E$2,"خلال 90 يوم",""))),"")</f>
        <v/>
      </c>
      <c r="U123" s="7" t="str">
        <f>IF(B123="","",COUNTIF(التمديدات!$A$2:$A$301,B123))</f>
        <v/>
      </c>
      <c r="V123" s="10"/>
      <c r="W123" s="10"/>
      <c r="X123" s="7" t="str">
        <f t="shared" si="7"/>
        <v/>
      </c>
    </row>
    <row r="124" spans="1:24">
      <c r="A124" s="7">
        <v>123</v>
      </c>
      <c r="B124" s="10"/>
      <c r="C124" s="10"/>
      <c r="D124" s="10"/>
      <c r="E124" s="10"/>
      <c r="F124" s="10"/>
      <c r="G124" s="11"/>
      <c r="H124" s="11"/>
      <c r="I124" s="11"/>
      <c r="J124" s="12" t="str">
        <f>IF(B124="","",MAX(I124,_xlfn.MAXIFS(التمديدات!$C$2:$C$301,التمديدات!$A$2:$A$301,B124)))</f>
        <v/>
      </c>
      <c r="K124" s="7" t="str">
        <f t="shared" si="5"/>
        <v/>
      </c>
      <c r="L124" s="26"/>
      <c r="M124" s="27"/>
      <c r="N124" s="10"/>
      <c r="O124" s="10"/>
      <c r="P124" s="10"/>
      <c r="Q124" s="10"/>
      <c r="R124" s="7" t="str">
        <f ca="1">IF(B124="","",IF(Q124&lt;&gt;"",Q124,IF(H124&gt;TODAY(),"لم يبدأ بعد",IF(J124&lt;TODAY(),"منتهٍ",IF(J124-TODAY()&lt;='القوائم والإعدادات'!$E$2,"قريب الانتهاء","ساري")))))</f>
        <v/>
      </c>
      <c r="S124" s="7" t="str">
        <f t="shared" ca="1" si="6"/>
        <v/>
      </c>
      <c r="T124" s="7" t="str">
        <f ca="1">IF(OR(R124="ساري",R124="قريب الانتهاء"),IF(S124&lt;='القوائم والإعدادات'!$E$4,"عاجل",IF(S124&lt;='القوائم والإعدادات'!$E$3,"خلال 60 يوم",IF(S124&lt;='القوائم والإعدادات'!$E$2,"خلال 90 يوم",""))),"")</f>
        <v/>
      </c>
      <c r="U124" s="7" t="str">
        <f>IF(B124="","",COUNTIF(التمديدات!$A$2:$A$301,B124))</f>
        <v/>
      </c>
      <c r="V124" s="10"/>
      <c r="W124" s="10"/>
      <c r="X124" s="7" t="str">
        <f t="shared" si="7"/>
        <v/>
      </c>
    </row>
    <row r="125" spans="1:24">
      <c r="A125" s="7">
        <v>124</v>
      </c>
      <c r="B125" s="10"/>
      <c r="C125" s="10"/>
      <c r="D125" s="10"/>
      <c r="E125" s="10"/>
      <c r="F125" s="10"/>
      <c r="G125" s="11"/>
      <c r="H125" s="11"/>
      <c r="I125" s="11"/>
      <c r="J125" s="12" t="str">
        <f>IF(B125="","",MAX(I125,_xlfn.MAXIFS(التمديدات!$C$2:$C$301,التمديدات!$A$2:$A$301,B125)))</f>
        <v/>
      </c>
      <c r="K125" s="7" t="str">
        <f t="shared" si="5"/>
        <v/>
      </c>
      <c r="L125" s="26"/>
      <c r="M125" s="27"/>
      <c r="N125" s="10"/>
      <c r="O125" s="10"/>
      <c r="P125" s="10"/>
      <c r="Q125" s="10"/>
      <c r="R125" s="7" t="str">
        <f ca="1">IF(B125="","",IF(Q125&lt;&gt;"",Q125,IF(H125&gt;TODAY(),"لم يبدأ بعد",IF(J125&lt;TODAY(),"منتهٍ",IF(J125-TODAY()&lt;='القوائم والإعدادات'!$E$2,"قريب الانتهاء","ساري")))))</f>
        <v/>
      </c>
      <c r="S125" s="7" t="str">
        <f t="shared" ca="1" si="6"/>
        <v/>
      </c>
      <c r="T125" s="7" t="str">
        <f ca="1">IF(OR(R125="ساري",R125="قريب الانتهاء"),IF(S125&lt;='القوائم والإعدادات'!$E$4,"عاجل",IF(S125&lt;='القوائم والإعدادات'!$E$3,"خلال 60 يوم",IF(S125&lt;='القوائم والإعدادات'!$E$2,"خلال 90 يوم",""))),"")</f>
        <v/>
      </c>
      <c r="U125" s="7" t="str">
        <f>IF(B125="","",COUNTIF(التمديدات!$A$2:$A$301,B125))</f>
        <v/>
      </c>
      <c r="V125" s="10"/>
      <c r="W125" s="10"/>
      <c r="X125" s="7" t="str">
        <f t="shared" si="7"/>
        <v/>
      </c>
    </row>
    <row r="126" spans="1:24">
      <c r="A126" s="7">
        <v>125</v>
      </c>
      <c r="B126" s="10"/>
      <c r="C126" s="10"/>
      <c r="D126" s="10"/>
      <c r="E126" s="10"/>
      <c r="F126" s="10"/>
      <c r="G126" s="11"/>
      <c r="H126" s="11"/>
      <c r="I126" s="11"/>
      <c r="J126" s="12" t="str">
        <f>IF(B126="","",MAX(I126,_xlfn.MAXIFS(التمديدات!$C$2:$C$301,التمديدات!$A$2:$A$301,B126)))</f>
        <v/>
      </c>
      <c r="K126" s="7" t="str">
        <f t="shared" si="5"/>
        <v/>
      </c>
      <c r="L126" s="26"/>
      <c r="M126" s="27"/>
      <c r="N126" s="10"/>
      <c r="O126" s="10"/>
      <c r="P126" s="10"/>
      <c r="Q126" s="10"/>
      <c r="R126" s="7" t="str">
        <f ca="1">IF(B126="","",IF(Q126&lt;&gt;"",Q126,IF(H126&gt;TODAY(),"لم يبدأ بعد",IF(J126&lt;TODAY(),"منتهٍ",IF(J126-TODAY()&lt;='القوائم والإعدادات'!$E$2,"قريب الانتهاء","ساري")))))</f>
        <v/>
      </c>
      <c r="S126" s="7" t="str">
        <f t="shared" ca="1" si="6"/>
        <v/>
      </c>
      <c r="T126" s="7" t="str">
        <f ca="1">IF(OR(R126="ساري",R126="قريب الانتهاء"),IF(S126&lt;='القوائم والإعدادات'!$E$4,"عاجل",IF(S126&lt;='القوائم والإعدادات'!$E$3,"خلال 60 يوم",IF(S126&lt;='القوائم والإعدادات'!$E$2,"خلال 90 يوم",""))),"")</f>
        <v/>
      </c>
      <c r="U126" s="7" t="str">
        <f>IF(B126="","",COUNTIF(التمديدات!$A$2:$A$301,B126))</f>
        <v/>
      </c>
      <c r="V126" s="10"/>
      <c r="W126" s="10"/>
      <c r="X126" s="7" t="str">
        <f t="shared" si="7"/>
        <v/>
      </c>
    </row>
    <row r="127" spans="1:24">
      <c r="A127" s="7">
        <v>126</v>
      </c>
      <c r="B127" s="10"/>
      <c r="C127" s="10"/>
      <c r="D127" s="10"/>
      <c r="E127" s="10"/>
      <c r="F127" s="10"/>
      <c r="G127" s="11"/>
      <c r="H127" s="11"/>
      <c r="I127" s="11"/>
      <c r="J127" s="12" t="str">
        <f>IF(B127="","",MAX(I127,_xlfn.MAXIFS(التمديدات!$C$2:$C$301,التمديدات!$A$2:$A$301,B127)))</f>
        <v/>
      </c>
      <c r="K127" s="7" t="str">
        <f t="shared" si="5"/>
        <v/>
      </c>
      <c r="L127" s="26"/>
      <c r="M127" s="27"/>
      <c r="N127" s="10"/>
      <c r="O127" s="10"/>
      <c r="P127" s="10"/>
      <c r="Q127" s="10"/>
      <c r="R127" s="7" t="str">
        <f ca="1">IF(B127="","",IF(Q127&lt;&gt;"",Q127,IF(H127&gt;TODAY(),"لم يبدأ بعد",IF(J127&lt;TODAY(),"منتهٍ",IF(J127-TODAY()&lt;='القوائم والإعدادات'!$E$2,"قريب الانتهاء","ساري")))))</f>
        <v/>
      </c>
      <c r="S127" s="7" t="str">
        <f t="shared" ca="1" si="6"/>
        <v/>
      </c>
      <c r="T127" s="7" t="str">
        <f ca="1">IF(OR(R127="ساري",R127="قريب الانتهاء"),IF(S127&lt;='القوائم والإعدادات'!$E$4,"عاجل",IF(S127&lt;='القوائم والإعدادات'!$E$3,"خلال 60 يوم",IF(S127&lt;='القوائم والإعدادات'!$E$2,"خلال 90 يوم",""))),"")</f>
        <v/>
      </c>
      <c r="U127" s="7" t="str">
        <f>IF(B127="","",COUNTIF(التمديدات!$A$2:$A$301,B127))</f>
        <v/>
      </c>
      <c r="V127" s="10"/>
      <c r="W127" s="10"/>
      <c r="X127" s="7" t="str">
        <f t="shared" si="7"/>
        <v/>
      </c>
    </row>
    <row r="128" spans="1:24">
      <c r="A128" s="7">
        <v>127</v>
      </c>
      <c r="B128" s="10"/>
      <c r="C128" s="10"/>
      <c r="D128" s="10"/>
      <c r="E128" s="10"/>
      <c r="F128" s="10"/>
      <c r="G128" s="11"/>
      <c r="H128" s="11"/>
      <c r="I128" s="11"/>
      <c r="J128" s="12" t="str">
        <f>IF(B128="","",MAX(I128,_xlfn.MAXIFS(التمديدات!$C$2:$C$301,التمديدات!$A$2:$A$301,B128)))</f>
        <v/>
      </c>
      <c r="K128" s="7" t="str">
        <f t="shared" si="5"/>
        <v/>
      </c>
      <c r="L128" s="26"/>
      <c r="M128" s="27"/>
      <c r="N128" s="10"/>
      <c r="O128" s="10"/>
      <c r="P128" s="10"/>
      <c r="Q128" s="10"/>
      <c r="R128" s="7" t="str">
        <f ca="1">IF(B128="","",IF(Q128&lt;&gt;"",Q128,IF(H128&gt;TODAY(),"لم يبدأ بعد",IF(J128&lt;TODAY(),"منتهٍ",IF(J128-TODAY()&lt;='القوائم والإعدادات'!$E$2,"قريب الانتهاء","ساري")))))</f>
        <v/>
      </c>
      <c r="S128" s="7" t="str">
        <f t="shared" ca="1" si="6"/>
        <v/>
      </c>
      <c r="T128" s="7" t="str">
        <f ca="1">IF(OR(R128="ساري",R128="قريب الانتهاء"),IF(S128&lt;='القوائم والإعدادات'!$E$4,"عاجل",IF(S128&lt;='القوائم والإعدادات'!$E$3,"خلال 60 يوم",IF(S128&lt;='القوائم والإعدادات'!$E$2,"خلال 90 يوم",""))),"")</f>
        <v/>
      </c>
      <c r="U128" s="7" t="str">
        <f>IF(B128="","",COUNTIF(التمديدات!$A$2:$A$301,B128))</f>
        <v/>
      </c>
      <c r="V128" s="10"/>
      <c r="W128" s="10"/>
      <c r="X128" s="7" t="str">
        <f t="shared" si="7"/>
        <v/>
      </c>
    </row>
    <row r="129" spans="1:24">
      <c r="A129" s="7">
        <v>128</v>
      </c>
      <c r="B129" s="10"/>
      <c r="C129" s="10"/>
      <c r="D129" s="10"/>
      <c r="E129" s="10"/>
      <c r="F129" s="10"/>
      <c r="G129" s="11"/>
      <c r="H129" s="11"/>
      <c r="I129" s="11"/>
      <c r="J129" s="12" t="str">
        <f>IF(B129="","",MAX(I129,_xlfn.MAXIFS(التمديدات!$C$2:$C$301,التمديدات!$A$2:$A$301,B129)))</f>
        <v/>
      </c>
      <c r="K129" s="7" t="str">
        <f t="shared" si="5"/>
        <v/>
      </c>
      <c r="L129" s="26"/>
      <c r="M129" s="27"/>
      <c r="N129" s="10"/>
      <c r="O129" s="10"/>
      <c r="P129" s="10"/>
      <c r="Q129" s="10"/>
      <c r="R129" s="7" t="str">
        <f ca="1">IF(B129="","",IF(Q129&lt;&gt;"",Q129,IF(H129&gt;TODAY(),"لم يبدأ بعد",IF(J129&lt;TODAY(),"منتهٍ",IF(J129-TODAY()&lt;='القوائم والإعدادات'!$E$2,"قريب الانتهاء","ساري")))))</f>
        <v/>
      </c>
      <c r="S129" s="7" t="str">
        <f t="shared" ca="1" si="6"/>
        <v/>
      </c>
      <c r="T129" s="7" t="str">
        <f ca="1">IF(OR(R129="ساري",R129="قريب الانتهاء"),IF(S129&lt;='القوائم والإعدادات'!$E$4,"عاجل",IF(S129&lt;='القوائم والإعدادات'!$E$3,"خلال 60 يوم",IF(S129&lt;='القوائم والإعدادات'!$E$2,"خلال 90 يوم",""))),"")</f>
        <v/>
      </c>
      <c r="U129" s="7" t="str">
        <f>IF(B129="","",COUNTIF(التمديدات!$A$2:$A$301,B129))</f>
        <v/>
      </c>
      <c r="V129" s="10"/>
      <c r="W129" s="10"/>
      <c r="X129" s="7" t="str">
        <f t="shared" si="7"/>
        <v/>
      </c>
    </row>
    <row r="130" spans="1:24">
      <c r="A130" s="7">
        <v>129</v>
      </c>
      <c r="B130" s="10"/>
      <c r="C130" s="10"/>
      <c r="D130" s="10"/>
      <c r="E130" s="10"/>
      <c r="F130" s="10"/>
      <c r="G130" s="11"/>
      <c r="H130" s="11"/>
      <c r="I130" s="11"/>
      <c r="J130" s="12" t="str">
        <f>IF(B130="","",MAX(I130,_xlfn.MAXIFS(التمديدات!$C$2:$C$301,التمديدات!$A$2:$A$301,B130)))</f>
        <v/>
      </c>
      <c r="K130" s="7" t="str">
        <f t="shared" ref="K130:K193" si="8">IF(OR(H130="",I130=""),"",ROUND((I130-H130)/30.4,0))</f>
        <v/>
      </c>
      <c r="L130" s="26"/>
      <c r="M130" s="27"/>
      <c r="N130" s="10"/>
      <c r="O130" s="10"/>
      <c r="P130" s="10"/>
      <c r="Q130" s="10"/>
      <c r="R130" s="7" t="str">
        <f ca="1">IF(B130="","",IF(Q130&lt;&gt;"",Q130,IF(H130&gt;TODAY(),"لم يبدأ بعد",IF(J130&lt;TODAY(),"منتهٍ",IF(J130-TODAY()&lt;='القوائم والإعدادات'!$E$2,"قريب الانتهاء","ساري")))))</f>
        <v/>
      </c>
      <c r="S130" s="7" t="str">
        <f t="shared" ca="1" si="6"/>
        <v/>
      </c>
      <c r="T130" s="7" t="str">
        <f ca="1">IF(OR(R130="ساري",R130="قريب الانتهاء"),IF(S130&lt;='القوائم والإعدادات'!$E$4,"عاجل",IF(S130&lt;='القوائم والإعدادات'!$E$3,"خلال 60 يوم",IF(S130&lt;='القوائم والإعدادات'!$E$2,"خلال 90 يوم",""))),"")</f>
        <v/>
      </c>
      <c r="U130" s="7" t="str">
        <f>IF(B130="","",COUNTIF(التمديدات!$A$2:$A$301,B130))</f>
        <v/>
      </c>
      <c r="V130" s="10"/>
      <c r="W130" s="10"/>
      <c r="X130" s="7" t="str">
        <f t="shared" si="7"/>
        <v/>
      </c>
    </row>
    <row r="131" spans="1:24">
      <c r="A131" s="7">
        <v>130</v>
      </c>
      <c r="B131" s="10"/>
      <c r="C131" s="10"/>
      <c r="D131" s="10"/>
      <c r="E131" s="10"/>
      <c r="F131" s="10"/>
      <c r="G131" s="11"/>
      <c r="H131" s="11"/>
      <c r="I131" s="11"/>
      <c r="J131" s="12" t="str">
        <f>IF(B131="","",MAX(I131,_xlfn.MAXIFS(التمديدات!$C$2:$C$301,التمديدات!$A$2:$A$301,B131)))</f>
        <v/>
      </c>
      <c r="K131" s="7" t="str">
        <f t="shared" si="8"/>
        <v/>
      </c>
      <c r="L131" s="26"/>
      <c r="M131" s="27"/>
      <c r="N131" s="10"/>
      <c r="O131" s="10"/>
      <c r="P131" s="10"/>
      <c r="Q131" s="10"/>
      <c r="R131" s="7" t="str">
        <f ca="1">IF(B131="","",IF(Q131&lt;&gt;"",Q131,IF(H131&gt;TODAY(),"لم يبدأ بعد",IF(J131&lt;TODAY(),"منتهٍ",IF(J131-TODAY()&lt;='القوائم والإعدادات'!$E$2,"قريب الانتهاء","ساري")))))</f>
        <v/>
      </c>
      <c r="S131" s="7" t="str">
        <f t="shared" ca="1" si="6"/>
        <v/>
      </c>
      <c r="T131" s="7" t="str">
        <f ca="1">IF(OR(R131="ساري",R131="قريب الانتهاء"),IF(S131&lt;='القوائم والإعدادات'!$E$4,"عاجل",IF(S131&lt;='القوائم والإعدادات'!$E$3,"خلال 60 يوم",IF(S131&lt;='القوائم والإعدادات'!$E$2,"خلال 90 يوم",""))),"")</f>
        <v/>
      </c>
      <c r="U131" s="7" t="str">
        <f>IF(B131="","",COUNTIF(التمديدات!$A$2:$A$301,B131))</f>
        <v/>
      </c>
      <c r="V131" s="10"/>
      <c r="W131" s="10"/>
      <c r="X131" s="7" t="str">
        <f t="shared" si="7"/>
        <v/>
      </c>
    </row>
    <row r="132" spans="1:24">
      <c r="A132" s="7">
        <v>131</v>
      </c>
      <c r="B132" s="10"/>
      <c r="C132" s="10"/>
      <c r="D132" s="10"/>
      <c r="E132" s="10"/>
      <c r="F132" s="10"/>
      <c r="G132" s="11"/>
      <c r="H132" s="11"/>
      <c r="I132" s="11"/>
      <c r="J132" s="12" t="str">
        <f>IF(B132="","",MAX(I132,_xlfn.MAXIFS(التمديدات!$C$2:$C$301,التمديدات!$A$2:$A$301,B132)))</f>
        <v/>
      </c>
      <c r="K132" s="7" t="str">
        <f t="shared" si="8"/>
        <v/>
      </c>
      <c r="L132" s="26"/>
      <c r="M132" s="27"/>
      <c r="N132" s="10"/>
      <c r="O132" s="10"/>
      <c r="P132" s="10"/>
      <c r="Q132" s="10"/>
      <c r="R132" s="7" t="str">
        <f ca="1">IF(B132="","",IF(Q132&lt;&gt;"",Q132,IF(H132&gt;TODAY(),"لم يبدأ بعد",IF(J132&lt;TODAY(),"منتهٍ",IF(J132-TODAY()&lt;='القوائم والإعدادات'!$E$2,"قريب الانتهاء","ساري")))))</f>
        <v/>
      </c>
      <c r="S132" s="7" t="str">
        <f t="shared" ca="1" si="6"/>
        <v/>
      </c>
      <c r="T132" s="7" t="str">
        <f ca="1">IF(OR(R132="ساري",R132="قريب الانتهاء"),IF(S132&lt;='القوائم والإعدادات'!$E$4,"عاجل",IF(S132&lt;='القوائم والإعدادات'!$E$3,"خلال 60 يوم",IF(S132&lt;='القوائم والإعدادات'!$E$2,"خلال 90 يوم",""))),"")</f>
        <v/>
      </c>
      <c r="U132" s="7" t="str">
        <f>IF(B132="","",COUNTIF(التمديدات!$A$2:$A$301,B132))</f>
        <v/>
      </c>
      <c r="V132" s="10"/>
      <c r="W132" s="10"/>
      <c r="X132" s="7" t="str">
        <f t="shared" si="7"/>
        <v/>
      </c>
    </row>
    <row r="133" spans="1:24">
      <c r="A133" s="7">
        <v>132</v>
      </c>
      <c r="B133" s="10"/>
      <c r="C133" s="10"/>
      <c r="D133" s="10"/>
      <c r="E133" s="10"/>
      <c r="F133" s="10"/>
      <c r="G133" s="11"/>
      <c r="H133" s="11"/>
      <c r="I133" s="11"/>
      <c r="J133" s="12" t="str">
        <f>IF(B133="","",MAX(I133,_xlfn.MAXIFS(التمديدات!$C$2:$C$301,التمديدات!$A$2:$A$301,B133)))</f>
        <v/>
      </c>
      <c r="K133" s="7" t="str">
        <f t="shared" si="8"/>
        <v/>
      </c>
      <c r="L133" s="26"/>
      <c r="M133" s="27"/>
      <c r="N133" s="10"/>
      <c r="O133" s="10"/>
      <c r="P133" s="10"/>
      <c r="Q133" s="10"/>
      <c r="R133" s="7" t="str">
        <f ca="1">IF(B133="","",IF(Q133&lt;&gt;"",Q133,IF(H133&gt;TODAY(),"لم يبدأ بعد",IF(J133&lt;TODAY(),"منتهٍ",IF(J133-TODAY()&lt;='القوائم والإعدادات'!$E$2,"قريب الانتهاء","ساري")))))</f>
        <v/>
      </c>
      <c r="S133" s="7" t="str">
        <f t="shared" ca="1" si="6"/>
        <v/>
      </c>
      <c r="T133" s="7" t="str">
        <f ca="1">IF(OR(R133="ساري",R133="قريب الانتهاء"),IF(S133&lt;='القوائم والإعدادات'!$E$4,"عاجل",IF(S133&lt;='القوائم والإعدادات'!$E$3,"خلال 60 يوم",IF(S133&lt;='القوائم والإعدادات'!$E$2,"خلال 90 يوم",""))),"")</f>
        <v/>
      </c>
      <c r="U133" s="7" t="str">
        <f>IF(B133="","",COUNTIF(التمديدات!$A$2:$A$301,B133))</f>
        <v/>
      </c>
      <c r="V133" s="10"/>
      <c r="W133" s="10"/>
      <c r="X133" s="7" t="str">
        <f t="shared" si="7"/>
        <v/>
      </c>
    </row>
    <row r="134" spans="1:24">
      <c r="A134" s="7">
        <v>133</v>
      </c>
      <c r="B134" s="10"/>
      <c r="C134" s="10"/>
      <c r="D134" s="10"/>
      <c r="E134" s="10"/>
      <c r="F134" s="10"/>
      <c r="G134" s="11"/>
      <c r="H134" s="11"/>
      <c r="I134" s="11"/>
      <c r="J134" s="12" t="str">
        <f>IF(B134="","",MAX(I134,_xlfn.MAXIFS(التمديدات!$C$2:$C$301,التمديدات!$A$2:$A$301,B134)))</f>
        <v/>
      </c>
      <c r="K134" s="7" t="str">
        <f t="shared" si="8"/>
        <v/>
      </c>
      <c r="L134" s="26"/>
      <c r="M134" s="27"/>
      <c r="N134" s="10"/>
      <c r="O134" s="10"/>
      <c r="P134" s="10"/>
      <c r="Q134" s="10"/>
      <c r="R134" s="7" t="str">
        <f ca="1">IF(B134="","",IF(Q134&lt;&gt;"",Q134,IF(H134&gt;TODAY(),"لم يبدأ بعد",IF(J134&lt;TODAY(),"منتهٍ",IF(J134-TODAY()&lt;='القوائم والإعدادات'!$E$2,"قريب الانتهاء","ساري")))))</f>
        <v/>
      </c>
      <c r="S134" s="7" t="str">
        <f t="shared" ca="1" si="6"/>
        <v/>
      </c>
      <c r="T134" s="7" t="str">
        <f ca="1">IF(OR(R134="ساري",R134="قريب الانتهاء"),IF(S134&lt;='القوائم والإعدادات'!$E$4,"عاجل",IF(S134&lt;='القوائم والإعدادات'!$E$3,"خلال 60 يوم",IF(S134&lt;='القوائم والإعدادات'!$E$2,"خلال 90 يوم",""))),"")</f>
        <v/>
      </c>
      <c r="U134" s="7" t="str">
        <f>IF(B134="","",COUNTIF(التمديدات!$A$2:$A$301,B134))</f>
        <v/>
      </c>
      <c r="V134" s="10"/>
      <c r="W134" s="10"/>
      <c r="X134" s="7" t="str">
        <f t="shared" si="7"/>
        <v/>
      </c>
    </row>
    <row r="135" spans="1:24">
      <c r="A135" s="7">
        <v>134</v>
      </c>
      <c r="B135" s="10"/>
      <c r="C135" s="10"/>
      <c r="D135" s="10"/>
      <c r="E135" s="10"/>
      <c r="F135" s="10"/>
      <c r="G135" s="11"/>
      <c r="H135" s="11"/>
      <c r="I135" s="11"/>
      <c r="J135" s="12" t="str">
        <f>IF(B135="","",MAX(I135,_xlfn.MAXIFS(التمديدات!$C$2:$C$301,التمديدات!$A$2:$A$301,B135)))</f>
        <v/>
      </c>
      <c r="K135" s="7" t="str">
        <f t="shared" si="8"/>
        <v/>
      </c>
      <c r="L135" s="26"/>
      <c r="M135" s="27"/>
      <c r="N135" s="10"/>
      <c r="O135" s="10"/>
      <c r="P135" s="10"/>
      <c r="Q135" s="10"/>
      <c r="R135" s="7" t="str">
        <f ca="1">IF(B135="","",IF(Q135&lt;&gt;"",Q135,IF(H135&gt;TODAY(),"لم يبدأ بعد",IF(J135&lt;TODAY(),"منتهٍ",IF(J135-TODAY()&lt;='القوائم والإعدادات'!$E$2,"قريب الانتهاء","ساري")))))</f>
        <v/>
      </c>
      <c r="S135" s="7" t="str">
        <f t="shared" ca="1" si="6"/>
        <v/>
      </c>
      <c r="T135" s="7" t="str">
        <f ca="1">IF(OR(R135="ساري",R135="قريب الانتهاء"),IF(S135&lt;='القوائم والإعدادات'!$E$4,"عاجل",IF(S135&lt;='القوائم والإعدادات'!$E$3,"خلال 60 يوم",IF(S135&lt;='القوائم والإعدادات'!$E$2,"خلال 90 يوم",""))),"")</f>
        <v/>
      </c>
      <c r="U135" s="7" t="str">
        <f>IF(B135="","",COUNTIF(التمديدات!$A$2:$A$301,B135))</f>
        <v/>
      </c>
      <c r="V135" s="10"/>
      <c r="W135" s="10"/>
      <c r="X135" s="7" t="str">
        <f t="shared" si="7"/>
        <v/>
      </c>
    </row>
    <row r="136" spans="1:24">
      <c r="A136" s="7">
        <v>135</v>
      </c>
      <c r="B136" s="10"/>
      <c r="C136" s="10"/>
      <c r="D136" s="10"/>
      <c r="E136" s="10"/>
      <c r="F136" s="10"/>
      <c r="G136" s="11"/>
      <c r="H136" s="11"/>
      <c r="I136" s="11"/>
      <c r="J136" s="12" t="str">
        <f>IF(B136="","",MAX(I136,_xlfn.MAXIFS(التمديدات!$C$2:$C$301,التمديدات!$A$2:$A$301,B136)))</f>
        <v/>
      </c>
      <c r="K136" s="7" t="str">
        <f t="shared" si="8"/>
        <v/>
      </c>
      <c r="L136" s="26"/>
      <c r="M136" s="27"/>
      <c r="N136" s="10"/>
      <c r="O136" s="10"/>
      <c r="P136" s="10"/>
      <c r="Q136" s="10"/>
      <c r="R136" s="7" t="str">
        <f ca="1">IF(B136="","",IF(Q136&lt;&gt;"",Q136,IF(H136&gt;TODAY(),"لم يبدأ بعد",IF(J136&lt;TODAY(),"منتهٍ",IF(J136-TODAY()&lt;='القوائم والإعدادات'!$E$2,"قريب الانتهاء","ساري")))))</f>
        <v/>
      </c>
      <c r="S136" s="7" t="str">
        <f t="shared" ca="1" si="6"/>
        <v/>
      </c>
      <c r="T136" s="7" t="str">
        <f ca="1">IF(OR(R136="ساري",R136="قريب الانتهاء"),IF(S136&lt;='القوائم والإعدادات'!$E$4,"عاجل",IF(S136&lt;='القوائم والإعدادات'!$E$3,"خلال 60 يوم",IF(S136&lt;='القوائم والإعدادات'!$E$2,"خلال 90 يوم",""))),"")</f>
        <v/>
      </c>
      <c r="U136" s="7" t="str">
        <f>IF(B136="","",COUNTIF(التمديدات!$A$2:$A$301,B136))</f>
        <v/>
      </c>
      <c r="V136" s="10"/>
      <c r="W136" s="10"/>
      <c r="X136" s="7" t="str">
        <f t="shared" si="7"/>
        <v/>
      </c>
    </row>
    <row r="137" spans="1:24">
      <c r="A137" s="7">
        <v>136</v>
      </c>
      <c r="B137" s="10"/>
      <c r="C137" s="10"/>
      <c r="D137" s="10"/>
      <c r="E137" s="10"/>
      <c r="F137" s="10"/>
      <c r="G137" s="11"/>
      <c r="H137" s="11"/>
      <c r="I137" s="11"/>
      <c r="J137" s="12" t="str">
        <f>IF(B137="","",MAX(I137,_xlfn.MAXIFS(التمديدات!$C$2:$C$301,التمديدات!$A$2:$A$301,B137)))</f>
        <v/>
      </c>
      <c r="K137" s="7" t="str">
        <f t="shared" si="8"/>
        <v/>
      </c>
      <c r="L137" s="26"/>
      <c r="M137" s="27"/>
      <c r="N137" s="10"/>
      <c r="O137" s="10"/>
      <c r="P137" s="10"/>
      <c r="Q137" s="10"/>
      <c r="R137" s="7" t="str">
        <f ca="1">IF(B137="","",IF(Q137&lt;&gt;"",Q137,IF(H137&gt;TODAY(),"لم يبدأ بعد",IF(J137&lt;TODAY(),"منتهٍ",IF(J137-TODAY()&lt;='القوائم والإعدادات'!$E$2,"قريب الانتهاء","ساري")))))</f>
        <v/>
      </c>
      <c r="S137" s="7" t="str">
        <f t="shared" ca="1" si="6"/>
        <v/>
      </c>
      <c r="T137" s="7" t="str">
        <f ca="1">IF(OR(R137="ساري",R137="قريب الانتهاء"),IF(S137&lt;='القوائم والإعدادات'!$E$4,"عاجل",IF(S137&lt;='القوائم والإعدادات'!$E$3,"خلال 60 يوم",IF(S137&lt;='القوائم والإعدادات'!$E$2,"خلال 90 يوم",""))),"")</f>
        <v/>
      </c>
      <c r="U137" s="7" t="str">
        <f>IF(B137="","",COUNTIF(التمديدات!$A$2:$A$301,B137))</f>
        <v/>
      </c>
      <c r="V137" s="10"/>
      <c r="W137" s="10"/>
      <c r="X137" s="7" t="str">
        <f t="shared" si="7"/>
        <v/>
      </c>
    </row>
    <row r="138" spans="1:24">
      <c r="A138" s="7">
        <v>137</v>
      </c>
      <c r="B138" s="10"/>
      <c r="C138" s="10"/>
      <c r="D138" s="10"/>
      <c r="E138" s="10"/>
      <c r="F138" s="10"/>
      <c r="G138" s="11"/>
      <c r="H138" s="11"/>
      <c r="I138" s="11"/>
      <c r="J138" s="12" t="str">
        <f>IF(B138="","",MAX(I138,_xlfn.MAXIFS(التمديدات!$C$2:$C$301,التمديدات!$A$2:$A$301,B138)))</f>
        <v/>
      </c>
      <c r="K138" s="7" t="str">
        <f t="shared" si="8"/>
        <v/>
      </c>
      <c r="L138" s="26"/>
      <c r="M138" s="27"/>
      <c r="N138" s="10"/>
      <c r="O138" s="10"/>
      <c r="P138" s="10"/>
      <c r="Q138" s="10"/>
      <c r="R138" s="7" t="str">
        <f ca="1">IF(B138="","",IF(Q138&lt;&gt;"",Q138,IF(H138&gt;TODAY(),"لم يبدأ بعد",IF(J138&lt;TODAY(),"منتهٍ",IF(J138-TODAY()&lt;='القوائم والإعدادات'!$E$2,"قريب الانتهاء","ساري")))))</f>
        <v/>
      </c>
      <c r="S138" s="7" t="str">
        <f t="shared" ca="1" si="6"/>
        <v/>
      </c>
      <c r="T138" s="7" t="str">
        <f ca="1">IF(OR(R138="ساري",R138="قريب الانتهاء"),IF(S138&lt;='القوائم والإعدادات'!$E$4,"عاجل",IF(S138&lt;='القوائم والإعدادات'!$E$3,"خلال 60 يوم",IF(S138&lt;='القوائم والإعدادات'!$E$2,"خلال 90 يوم",""))),"")</f>
        <v/>
      </c>
      <c r="U138" s="7" t="str">
        <f>IF(B138="","",COUNTIF(التمديدات!$A$2:$A$301,B138))</f>
        <v/>
      </c>
      <c r="V138" s="10"/>
      <c r="W138" s="10"/>
      <c r="X138" s="7" t="str">
        <f t="shared" si="7"/>
        <v/>
      </c>
    </row>
    <row r="139" spans="1:24">
      <c r="A139" s="7">
        <v>138</v>
      </c>
      <c r="B139" s="10"/>
      <c r="C139" s="10"/>
      <c r="D139" s="10"/>
      <c r="E139" s="10"/>
      <c r="F139" s="10"/>
      <c r="G139" s="11"/>
      <c r="H139" s="11"/>
      <c r="I139" s="11"/>
      <c r="J139" s="12" t="str">
        <f>IF(B139="","",MAX(I139,_xlfn.MAXIFS(التمديدات!$C$2:$C$301,التمديدات!$A$2:$A$301,B139)))</f>
        <v/>
      </c>
      <c r="K139" s="7" t="str">
        <f t="shared" si="8"/>
        <v/>
      </c>
      <c r="L139" s="26"/>
      <c r="M139" s="27"/>
      <c r="N139" s="10"/>
      <c r="O139" s="10"/>
      <c r="P139" s="10"/>
      <c r="Q139" s="10"/>
      <c r="R139" s="7" t="str">
        <f ca="1">IF(B139="","",IF(Q139&lt;&gt;"",Q139,IF(H139&gt;TODAY(),"لم يبدأ بعد",IF(J139&lt;TODAY(),"منتهٍ",IF(J139-TODAY()&lt;='القوائم والإعدادات'!$E$2,"قريب الانتهاء","ساري")))))</f>
        <v/>
      </c>
      <c r="S139" s="7" t="str">
        <f t="shared" ca="1" si="6"/>
        <v/>
      </c>
      <c r="T139" s="7" t="str">
        <f ca="1">IF(OR(R139="ساري",R139="قريب الانتهاء"),IF(S139&lt;='القوائم والإعدادات'!$E$4,"عاجل",IF(S139&lt;='القوائم والإعدادات'!$E$3,"خلال 60 يوم",IF(S139&lt;='القوائم والإعدادات'!$E$2,"خلال 90 يوم",""))),"")</f>
        <v/>
      </c>
      <c r="U139" s="7" t="str">
        <f>IF(B139="","",COUNTIF(التمديدات!$A$2:$A$301,B139))</f>
        <v/>
      </c>
      <c r="V139" s="10"/>
      <c r="W139" s="10"/>
      <c r="X139" s="7" t="str">
        <f t="shared" si="7"/>
        <v/>
      </c>
    </row>
    <row r="140" spans="1:24">
      <c r="A140" s="7">
        <v>139</v>
      </c>
      <c r="B140" s="10"/>
      <c r="C140" s="10"/>
      <c r="D140" s="10"/>
      <c r="E140" s="10"/>
      <c r="F140" s="10"/>
      <c r="G140" s="11"/>
      <c r="H140" s="11"/>
      <c r="I140" s="11"/>
      <c r="J140" s="12" t="str">
        <f>IF(B140="","",MAX(I140,_xlfn.MAXIFS(التمديدات!$C$2:$C$301,التمديدات!$A$2:$A$301,B140)))</f>
        <v/>
      </c>
      <c r="K140" s="7" t="str">
        <f t="shared" si="8"/>
        <v/>
      </c>
      <c r="L140" s="26"/>
      <c r="M140" s="27"/>
      <c r="N140" s="10"/>
      <c r="O140" s="10"/>
      <c r="P140" s="10"/>
      <c r="Q140" s="10"/>
      <c r="R140" s="7" t="str">
        <f ca="1">IF(B140="","",IF(Q140&lt;&gt;"",Q140,IF(H140&gt;TODAY(),"لم يبدأ بعد",IF(J140&lt;TODAY(),"منتهٍ",IF(J140-TODAY()&lt;='القوائم والإعدادات'!$E$2,"قريب الانتهاء","ساري")))))</f>
        <v/>
      </c>
      <c r="S140" s="7" t="str">
        <f t="shared" ca="1" si="6"/>
        <v/>
      </c>
      <c r="T140" s="7" t="str">
        <f ca="1">IF(OR(R140="ساري",R140="قريب الانتهاء"),IF(S140&lt;='القوائم والإعدادات'!$E$4,"عاجل",IF(S140&lt;='القوائم والإعدادات'!$E$3,"خلال 60 يوم",IF(S140&lt;='القوائم والإعدادات'!$E$2,"خلال 90 يوم",""))),"")</f>
        <v/>
      </c>
      <c r="U140" s="7" t="str">
        <f>IF(B140="","",COUNTIF(التمديدات!$A$2:$A$301,B140))</f>
        <v/>
      </c>
      <c r="V140" s="10"/>
      <c r="W140" s="10"/>
      <c r="X140" s="7" t="str">
        <f t="shared" si="7"/>
        <v/>
      </c>
    </row>
    <row r="141" spans="1:24">
      <c r="A141" s="7">
        <v>140</v>
      </c>
      <c r="B141" s="10"/>
      <c r="C141" s="10"/>
      <c r="D141" s="10"/>
      <c r="E141" s="10"/>
      <c r="F141" s="10"/>
      <c r="G141" s="11"/>
      <c r="H141" s="11"/>
      <c r="I141" s="11"/>
      <c r="J141" s="12" t="str">
        <f>IF(B141="","",MAX(I141,_xlfn.MAXIFS(التمديدات!$C$2:$C$301,التمديدات!$A$2:$A$301,B141)))</f>
        <v/>
      </c>
      <c r="K141" s="7" t="str">
        <f t="shared" si="8"/>
        <v/>
      </c>
      <c r="L141" s="26"/>
      <c r="M141" s="27"/>
      <c r="N141" s="10"/>
      <c r="O141" s="10"/>
      <c r="P141" s="10"/>
      <c r="Q141" s="10"/>
      <c r="R141" s="7" t="str">
        <f ca="1">IF(B141="","",IF(Q141&lt;&gt;"",Q141,IF(H141&gt;TODAY(),"لم يبدأ بعد",IF(J141&lt;TODAY(),"منتهٍ",IF(J141-TODAY()&lt;='القوائم والإعدادات'!$E$2,"قريب الانتهاء","ساري")))))</f>
        <v/>
      </c>
      <c r="S141" s="7" t="str">
        <f t="shared" ca="1" si="6"/>
        <v/>
      </c>
      <c r="T141" s="7" t="str">
        <f ca="1">IF(OR(R141="ساري",R141="قريب الانتهاء"),IF(S141&lt;='القوائم والإعدادات'!$E$4,"عاجل",IF(S141&lt;='القوائم والإعدادات'!$E$3,"خلال 60 يوم",IF(S141&lt;='القوائم والإعدادات'!$E$2,"خلال 90 يوم",""))),"")</f>
        <v/>
      </c>
      <c r="U141" s="7" t="str">
        <f>IF(B141="","",COUNTIF(التمديدات!$A$2:$A$301,B141))</f>
        <v/>
      </c>
      <c r="V141" s="10"/>
      <c r="W141" s="10"/>
      <c r="X141" s="7" t="str">
        <f t="shared" si="7"/>
        <v/>
      </c>
    </row>
    <row r="142" spans="1:24">
      <c r="A142" s="7">
        <v>141</v>
      </c>
      <c r="B142" s="10"/>
      <c r="C142" s="10"/>
      <c r="D142" s="10"/>
      <c r="E142" s="10"/>
      <c r="F142" s="10"/>
      <c r="G142" s="11"/>
      <c r="H142" s="11"/>
      <c r="I142" s="11"/>
      <c r="J142" s="12" t="str">
        <f>IF(B142="","",MAX(I142,_xlfn.MAXIFS(التمديدات!$C$2:$C$301,التمديدات!$A$2:$A$301,B142)))</f>
        <v/>
      </c>
      <c r="K142" s="7" t="str">
        <f t="shared" si="8"/>
        <v/>
      </c>
      <c r="L142" s="26"/>
      <c r="M142" s="27"/>
      <c r="N142" s="10"/>
      <c r="O142" s="10"/>
      <c r="P142" s="10"/>
      <c r="Q142" s="10"/>
      <c r="R142" s="7" t="str">
        <f ca="1">IF(B142="","",IF(Q142&lt;&gt;"",Q142,IF(H142&gt;TODAY(),"لم يبدأ بعد",IF(J142&lt;TODAY(),"منتهٍ",IF(J142-TODAY()&lt;='القوائم والإعدادات'!$E$2,"قريب الانتهاء","ساري")))))</f>
        <v/>
      </c>
      <c r="S142" s="7" t="str">
        <f t="shared" ca="1" si="6"/>
        <v/>
      </c>
      <c r="T142" s="7" t="str">
        <f ca="1">IF(OR(R142="ساري",R142="قريب الانتهاء"),IF(S142&lt;='القوائم والإعدادات'!$E$4,"عاجل",IF(S142&lt;='القوائم والإعدادات'!$E$3,"خلال 60 يوم",IF(S142&lt;='القوائم والإعدادات'!$E$2,"خلال 90 يوم",""))),"")</f>
        <v/>
      </c>
      <c r="U142" s="7" t="str">
        <f>IF(B142="","",COUNTIF(التمديدات!$A$2:$A$301,B142))</f>
        <v/>
      </c>
      <c r="V142" s="10"/>
      <c r="W142" s="10"/>
      <c r="X142" s="7" t="str">
        <f t="shared" si="7"/>
        <v/>
      </c>
    </row>
    <row r="143" spans="1:24">
      <c r="A143" s="7">
        <v>142</v>
      </c>
      <c r="B143" s="10"/>
      <c r="C143" s="10"/>
      <c r="D143" s="10"/>
      <c r="E143" s="10"/>
      <c r="F143" s="10"/>
      <c r="G143" s="11"/>
      <c r="H143" s="11"/>
      <c r="I143" s="11"/>
      <c r="J143" s="12" t="str">
        <f>IF(B143="","",MAX(I143,_xlfn.MAXIFS(التمديدات!$C$2:$C$301,التمديدات!$A$2:$A$301,B143)))</f>
        <v/>
      </c>
      <c r="K143" s="7" t="str">
        <f t="shared" si="8"/>
        <v/>
      </c>
      <c r="L143" s="26"/>
      <c r="M143" s="27"/>
      <c r="N143" s="10"/>
      <c r="O143" s="10"/>
      <c r="P143" s="10"/>
      <c r="Q143" s="10"/>
      <c r="R143" s="7" t="str">
        <f ca="1">IF(B143="","",IF(Q143&lt;&gt;"",Q143,IF(H143&gt;TODAY(),"لم يبدأ بعد",IF(J143&lt;TODAY(),"منتهٍ",IF(J143-TODAY()&lt;='القوائم والإعدادات'!$E$2,"قريب الانتهاء","ساري")))))</f>
        <v/>
      </c>
      <c r="S143" s="7" t="str">
        <f t="shared" ca="1" si="6"/>
        <v/>
      </c>
      <c r="T143" s="7" t="str">
        <f ca="1">IF(OR(R143="ساري",R143="قريب الانتهاء"),IF(S143&lt;='القوائم والإعدادات'!$E$4,"عاجل",IF(S143&lt;='القوائم والإعدادات'!$E$3,"خلال 60 يوم",IF(S143&lt;='القوائم والإعدادات'!$E$2,"خلال 90 يوم",""))),"")</f>
        <v/>
      </c>
      <c r="U143" s="7" t="str">
        <f>IF(B143="","",COUNTIF(التمديدات!$A$2:$A$301,B143))</f>
        <v/>
      </c>
      <c r="V143" s="10"/>
      <c r="W143" s="10"/>
      <c r="X143" s="7" t="str">
        <f t="shared" si="7"/>
        <v/>
      </c>
    </row>
    <row r="144" spans="1:24">
      <c r="A144" s="7">
        <v>143</v>
      </c>
      <c r="B144" s="10"/>
      <c r="C144" s="10"/>
      <c r="D144" s="10"/>
      <c r="E144" s="10"/>
      <c r="F144" s="10"/>
      <c r="G144" s="11"/>
      <c r="H144" s="11"/>
      <c r="I144" s="11"/>
      <c r="J144" s="12" t="str">
        <f>IF(B144="","",MAX(I144,_xlfn.MAXIFS(التمديدات!$C$2:$C$301,التمديدات!$A$2:$A$301,B144)))</f>
        <v/>
      </c>
      <c r="K144" s="7" t="str">
        <f t="shared" si="8"/>
        <v/>
      </c>
      <c r="L144" s="26"/>
      <c r="M144" s="27"/>
      <c r="N144" s="10"/>
      <c r="O144" s="10"/>
      <c r="P144" s="10"/>
      <c r="Q144" s="10"/>
      <c r="R144" s="7" t="str">
        <f ca="1">IF(B144="","",IF(Q144&lt;&gt;"",Q144,IF(H144&gt;TODAY(),"لم يبدأ بعد",IF(J144&lt;TODAY(),"منتهٍ",IF(J144-TODAY()&lt;='القوائم والإعدادات'!$E$2,"قريب الانتهاء","ساري")))))</f>
        <v/>
      </c>
      <c r="S144" s="7" t="str">
        <f t="shared" ca="1" si="6"/>
        <v/>
      </c>
      <c r="T144" s="7" t="str">
        <f ca="1">IF(OR(R144="ساري",R144="قريب الانتهاء"),IF(S144&lt;='القوائم والإعدادات'!$E$4,"عاجل",IF(S144&lt;='القوائم والإعدادات'!$E$3,"خلال 60 يوم",IF(S144&lt;='القوائم والإعدادات'!$E$2,"خلال 90 يوم",""))),"")</f>
        <v/>
      </c>
      <c r="U144" s="7" t="str">
        <f>IF(B144="","",COUNTIF(التمديدات!$A$2:$A$301,B144))</f>
        <v/>
      </c>
      <c r="V144" s="10"/>
      <c r="W144" s="10"/>
      <c r="X144" s="7" t="str">
        <f t="shared" si="7"/>
        <v/>
      </c>
    </row>
    <row r="145" spans="1:24">
      <c r="A145" s="7">
        <v>144</v>
      </c>
      <c r="B145" s="10"/>
      <c r="C145" s="10"/>
      <c r="D145" s="10"/>
      <c r="E145" s="10"/>
      <c r="F145" s="10"/>
      <c r="G145" s="11"/>
      <c r="H145" s="11"/>
      <c r="I145" s="11"/>
      <c r="J145" s="12" t="str">
        <f>IF(B145="","",MAX(I145,_xlfn.MAXIFS(التمديدات!$C$2:$C$301,التمديدات!$A$2:$A$301,B145)))</f>
        <v/>
      </c>
      <c r="K145" s="7" t="str">
        <f t="shared" si="8"/>
        <v/>
      </c>
      <c r="L145" s="26"/>
      <c r="M145" s="27"/>
      <c r="N145" s="10"/>
      <c r="O145" s="10"/>
      <c r="P145" s="10"/>
      <c r="Q145" s="10"/>
      <c r="R145" s="7" t="str">
        <f ca="1">IF(B145="","",IF(Q145&lt;&gt;"",Q145,IF(H145&gt;TODAY(),"لم يبدأ بعد",IF(J145&lt;TODAY(),"منتهٍ",IF(J145-TODAY()&lt;='القوائم والإعدادات'!$E$2,"قريب الانتهاء","ساري")))))</f>
        <v/>
      </c>
      <c r="S145" s="7" t="str">
        <f t="shared" ca="1" si="6"/>
        <v/>
      </c>
      <c r="T145" s="7" t="str">
        <f ca="1">IF(OR(R145="ساري",R145="قريب الانتهاء"),IF(S145&lt;='القوائم والإعدادات'!$E$4,"عاجل",IF(S145&lt;='القوائم والإعدادات'!$E$3,"خلال 60 يوم",IF(S145&lt;='القوائم والإعدادات'!$E$2,"خلال 90 يوم",""))),"")</f>
        <v/>
      </c>
      <c r="U145" s="7" t="str">
        <f>IF(B145="","",COUNTIF(التمديدات!$A$2:$A$301,B145))</f>
        <v/>
      </c>
      <c r="V145" s="10"/>
      <c r="W145" s="10"/>
      <c r="X145" s="7" t="str">
        <f t="shared" si="7"/>
        <v/>
      </c>
    </row>
    <row r="146" spans="1:24">
      <c r="A146" s="7">
        <v>145</v>
      </c>
      <c r="B146" s="10"/>
      <c r="C146" s="10"/>
      <c r="D146" s="10"/>
      <c r="E146" s="10"/>
      <c r="F146" s="10"/>
      <c r="G146" s="11"/>
      <c r="H146" s="11"/>
      <c r="I146" s="11"/>
      <c r="J146" s="12" t="str">
        <f>IF(B146="","",MAX(I146,_xlfn.MAXIFS(التمديدات!$C$2:$C$301,التمديدات!$A$2:$A$301,B146)))</f>
        <v/>
      </c>
      <c r="K146" s="7" t="str">
        <f t="shared" si="8"/>
        <v/>
      </c>
      <c r="L146" s="26"/>
      <c r="M146" s="27"/>
      <c r="N146" s="10"/>
      <c r="O146" s="10"/>
      <c r="P146" s="10"/>
      <c r="Q146" s="10"/>
      <c r="R146" s="7" t="str">
        <f ca="1">IF(B146="","",IF(Q146&lt;&gt;"",Q146,IF(H146&gt;TODAY(),"لم يبدأ بعد",IF(J146&lt;TODAY(),"منتهٍ",IF(J146-TODAY()&lt;='القوائم والإعدادات'!$E$2,"قريب الانتهاء","ساري")))))</f>
        <v/>
      </c>
      <c r="S146" s="7" t="str">
        <f t="shared" ref="S146:S209" ca="1" si="9">IF(B146="","",J146-TODAY())</f>
        <v/>
      </c>
      <c r="T146" s="7" t="str">
        <f ca="1">IF(OR(R146="ساري",R146="قريب الانتهاء"),IF(S146&lt;='القوائم والإعدادات'!$E$4,"عاجل",IF(S146&lt;='القوائم والإعدادات'!$E$3,"خلال 60 يوم",IF(S146&lt;='القوائم والإعدادات'!$E$2,"خلال 90 يوم",""))),"")</f>
        <v/>
      </c>
      <c r="U146" s="7" t="str">
        <f>IF(B146="","",COUNTIF(التمديدات!$A$2:$A$301,B146))</f>
        <v/>
      </c>
      <c r="V146" s="10"/>
      <c r="W146" s="10"/>
      <c r="X146" s="7" t="str">
        <f t="shared" ref="X146:X209" si="10">IF(B146="","",IF(COUNTIFS($B$2:$B$501,B146,$D$2:$D$501,D146)&gt;1,"مكرر!",""))</f>
        <v/>
      </c>
    </row>
    <row r="147" spans="1:24">
      <c r="A147" s="7">
        <v>146</v>
      </c>
      <c r="B147" s="10"/>
      <c r="C147" s="10"/>
      <c r="D147" s="10"/>
      <c r="E147" s="10"/>
      <c r="F147" s="10"/>
      <c r="G147" s="11"/>
      <c r="H147" s="11"/>
      <c r="I147" s="11"/>
      <c r="J147" s="12" t="str">
        <f>IF(B147="","",MAX(I147,_xlfn.MAXIFS(التمديدات!$C$2:$C$301,التمديدات!$A$2:$A$301,B147)))</f>
        <v/>
      </c>
      <c r="K147" s="7" t="str">
        <f t="shared" si="8"/>
        <v/>
      </c>
      <c r="L147" s="26"/>
      <c r="M147" s="27"/>
      <c r="N147" s="10"/>
      <c r="O147" s="10"/>
      <c r="P147" s="10"/>
      <c r="Q147" s="10"/>
      <c r="R147" s="7" t="str">
        <f ca="1">IF(B147="","",IF(Q147&lt;&gt;"",Q147,IF(H147&gt;TODAY(),"لم يبدأ بعد",IF(J147&lt;TODAY(),"منتهٍ",IF(J147-TODAY()&lt;='القوائم والإعدادات'!$E$2,"قريب الانتهاء","ساري")))))</f>
        <v/>
      </c>
      <c r="S147" s="7" t="str">
        <f t="shared" ca="1" si="9"/>
        <v/>
      </c>
      <c r="T147" s="7" t="str">
        <f ca="1">IF(OR(R147="ساري",R147="قريب الانتهاء"),IF(S147&lt;='القوائم والإعدادات'!$E$4,"عاجل",IF(S147&lt;='القوائم والإعدادات'!$E$3,"خلال 60 يوم",IF(S147&lt;='القوائم والإعدادات'!$E$2,"خلال 90 يوم",""))),"")</f>
        <v/>
      </c>
      <c r="U147" s="7" t="str">
        <f>IF(B147="","",COUNTIF(التمديدات!$A$2:$A$301,B147))</f>
        <v/>
      </c>
      <c r="V147" s="10"/>
      <c r="W147" s="10"/>
      <c r="X147" s="7" t="str">
        <f t="shared" si="10"/>
        <v/>
      </c>
    </row>
    <row r="148" spans="1:24">
      <c r="A148" s="7">
        <v>147</v>
      </c>
      <c r="B148" s="10"/>
      <c r="C148" s="10"/>
      <c r="D148" s="10"/>
      <c r="E148" s="10"/>
      <c r="F148" s="10"/>
      <c r="G148" s="11"/>
      <c r="H148" s="11"/>
      <c r="I148" s="11"/>
      <c r="J148" s="12" t="str">
        <f>IF(B148="","",MAX(I148,_xlfn.MAXIFS(التمديدات!$C$2:$C$301,التمديدات!$A$2:$A$301,B148)))</f>
        <v/>
      </c>
      <c r="K148" s="7" t="str">
        <f t="shared" si="8"/>
        <v/>
      </c>
      <c r="L148" s="26"/>
      <c r="M148" s="27"/>
      <c r="N148" s="10"/>
      <c r="O148" s="10"/>
      <c r="P148" s="10"/>
      <c r="Q148" s="10"/>
      <c r="R148" s="7" t="str">
        <f ca="1">IF(B148="","",IF(Q148&lt;&gt;"",Q148,IF(H148&gt;TODAY(),"لم يبدأ بعد",IF(J148&lt;TODAY(),"منتهٍ",IF(J148-TODAY()&lt;='القوائم والإعدادات'!$E$2,"قريب الانتهاء","ساري")))))</f>
        <v/>
      </c>
      <c r="S148" s="7" t="str">
        <f t="shared" ca="1" si="9"/>
        <v/>
      </c>
      <c r="T148" s="7" t="str">
        <f ca="1">IF(OR(R148="ساري",R148="قريب الانتهاء"),IF(S148&lt;='القوائم والإعدادات'!$E$4,"عاجل",IF(S148&lt;='القوائم والإعدادات'!$E$3,"خلال 60 يوم",IF(S148&lt;='القوائم والإعدادات'!$E$2,"خلال 90 يوم",""))),"")</f>
        <v/>
      </c>
      <c r="U148" s="7" t="str">
        <f>IF(B148="","",COUNTIF(التمديدات!$A$2:$A$301,B148))</f>
        <v/>
      </c>
      <c r="V148" s="10"/>
      <c r="W148" s="10"/>
      <c r="X148" s="7" t="str">
        <f t="shared" si="10"/>
        <v/>
      </c>
    </row>
    <row r="149" spans="1:24">
      <c r="A149" s="7">
        <v>148</v>
      </c>
      <c r="B149" s="10"/>
      <c r="C149" s="10"/>
      <c r="D149" s="10"/>
      <c r="E149" s="10"/>
      <c r="F149" s="10"/>
      <c r="G149" s="11"/>
      <c r="H149" s="11"/>
      <c r="I149" s="11"/>
      <c r="J149" s="12" t="str">
        <f>IF(B149="","",MAX(I149,_xlfn.MAXIFS(التمديدات!$C$2:$C$301,التمديدات!$A$2:$A$301,B149)))</f>
        <v/>
      </c>
      <c r="K149" s="7" t="str">
        <f t="shared" si="8"/>
        <v/>
      </c>
      <c r="L149" s="26"/>
      <c r="M149" s="27"/>
      <c r="N149" s="10"/>
      <c r="O149" s="10"/>
      <c r="P149" s="10"/>
      <c r="Q149" s="10"/>
      <c r="R149" s="7" t="str">
        <f ca="1">IF(B149="","",IF(Q149&lt;&gt;"",Q149,IF(H149&gt;TODAY(),"لم يبدأ بعد",IF(J149&lt;TODAY(),"منتهٍ",IF(J149-TODAY()&lt;='القوائم والإعدادات'!$E$2,"قريب الانتهاء","ساري")))))</f>
        <v/>
      </c>
      <c r="S149" s="7" t="str">
        <f t="shared" ca="1" si="9"/>
        <v/>
      </c>
      <c r="T149" s="7" t="str">
        <f ca="1">IF(OR(R149="ساري",R149="قريب الانتهاء"),IF(S149&lt;='القوائم والإعدادات'!$E$4,"عاجل",IF(S149&lt;='القوائم والإعدادات'!$E$3,"خلال 60 يوم",IF(S149&lt;='القوائم والإعدادات'!$E$2,"خلال 90 يوم",""))),"")</f>
        <v/>
      </c>
      <c r="U149" s="7" t="str">
        <f>IF(B149="","",COUNTIF(التمديدات!$A$2:$A$301,B149))</f>
        <v/>
      </c>
      <c r="V149" s="10"/>
      <c r="W149" s="10"/>
      <c r="X149" s="7" t="str">
        <f t="shared" si="10"/>
        <v/>
      </c>
    </row>
    <row r="150" spans="1:24">
      <c r="A150" s="7">
        <v>149</v>
      </c>
      <c r="B150" s="10"/>
      <c r="C150" s="10"/>
      <c r="D150" s="10"/>
      <c r="E150" s="10"/>
      <c r="F150" s="10"/>
      <c r="G150" s="11"/>
      <c r="H150" s="11"/>
      <c r="I150" s="11"/>
      <c r="J150" s="12" t="str">
        <f>IF(B150="","",MAX(I150,_xlfn.MAXIFS(التمديدات!$C$2:$C$301,التمديدات!$A$2:$A$301,B150)))</f>
        <v/>
      </c>
      <c r="K150" s="7" t="str">
        <f t="shared" si="8"/>
        <v/>
      </c>
      <c r="L150" s="26"/>
      <c r="M150" s="27"/>
      <c r="N150" s="10"/>
      <c r="O150" s="10"/>
      <c r="P150" s="10"/>
      <c r="Q150" s="10"/>
      <c r="R150" s="7" t="str">
        <f ca="1">IF(B150="","",IF(Q150&lt;&gt;"",Q150,IF(H150&gt;TODAY(),"لم يبدأ بعد",IF(J150&lt;TODAY(),"منتهٍ",IF(J150-TODAY()&lt;='القوائم والإعدادات'!$E$2,"قريب الانتهاء","ساري")))))</f>
        <v/>
      </c>
      <c r="S150" s="7" t="str">
        <f t="shared" ca="1" si="9"/>
        <v/>
      </c>
      <c r="T150" s="7" t="str">
        <f ca="1">IF(OR(R150="ساري",R150="قريب الانتهاء"),IF(S150&lt;='القوائم والإعدادات'!$E$4,"عاجل",IF(S150&lt;='القوائم والإعدادات'!$E$3,"خلال 60 يوم",IF(S150&lt;='القوائم والإعدادات'!$E$2,"خلال 90 يوم",""))),"")</f>
        <v/>
      </c>
      <c r="U150" s="7" t="str">
        <f>IF(B150="","",COUNTIF(التمديدات!$A$2:$A$301,B150))</f>
        <v/>
      </c>
      <c r="V150" s="10"/>
      <c r="W150" s="10"/>
      <c r="X150" s="7" t="str">
        <f t="shared" si="10"/>
        <v/>
      </c>
    </row>
    <row r="151" spans="1:24">
      <c r="A151" s="7">
        <v>150</v>
      </c>
      <c r="B151" s="10"/>
      <c r="C151" s="10"/>
      <c r="D151" s="10"/>
      <c r="E151" s="10"/>
      <c r="F151" s="10"/>
      <c r="G151" s="11"/>
      <c r="H151" s="11"/>
      <c r="I151" s="11"/>
      <c r="J151" s="12" t="str">
        <f>IF(B151="","",MAX(I151,_xlfn.MAXIFS(التمديدات!$C$2:$C$301,التمديدات!$A$2:$A$301,B151)))</f>
        <v/>
      </c>
      <c r="K151" s="7" t="str">
        <f t="shared" si="8"/>
        <v/>
      </c>
      <c r="L151" s="26"/>
      <c r="M151" s="27"/>
      <c r="N151" s="10"/>
      <c r="O151" s="10"/>
      <c r="P151" s="10"/>
      <c r="Q151" s="10"/>
      <c r="R151" s="7" t="str">
        <f ca="1">IF(B151="","",IF(Q151&lt;&gt;"",Q151,IF(H151&gt;TODAY(),"لم يبدأ بعد",IF(J151&lt;TODAY(),"منتهٍ",IF(J151-TODAY()&lt;='القوائم والإعدادات'!$E$2,"قريب الانتهاء","ساري")))))</f>
        <v/>
      </c>
      <c r="S151" s="7" t="str">
        <f t="shared" ca="1" si="9"/>
        <v/>
      </c>
      <c r="T151" s="7" t="str">
        <f ca="1">IF(OR(R151="ساري",R151="قريب الانتهاء"),IF(S151&lt;='القوائم والإعدادات'!$E$4,"عاجل",IF(S151&lt;='القوائم والإعدادات'!$E$3,"خلال 60 يوم",IF(S151&lt;='القوائم والإعدادات'!$E$2,"خلال 90 يوم",""))),"")</f>
        <v/>
      </c>
      <c r="U151" s="7" t="str">
        <f>IF(B151="","",COUNTIF(التمديدات!$A$2:$A$301,B151))</f>
        <v/>
      </c>
      <c r="V151" s="10"/>
      <c r="W151" s="10"/>
      <c r="X151" s="7" t="str">
        <f t="shared" si="10"/>
        <v/>
      </c>
    </row>
    <row r="152" spans="1:24">
      <c r="A152" s="7">
        <v>151</v>
      </c>
      <c r="B152" s="10"/>
      <c r="C152" s="10"/>
      <c r="D152" s="10"/>
      <c r="E152" s="10"/>
      <c r="F152" s="10"/>
      <c r="G152" s="11"/>
      <c r="H152" s="11"/>
      <c r="I152" s="11"/>
      <c r="J152" s="12" t="str">
        <f>IF(B152="","",MAX(I152,_xlfn.MAXIFS(التمديدات!$C$2:$C$301,التمديدات!$A$2:$A$301,B152)))</f>
        <v/>
      </c>
      <c r="K152" s="7" t="str">
        <f t="shared" si="8"/>
        <v/>
      </c>
      <c r="L152" s="26"/>
      <c r="M152" s="27"/>
      <c r="N152" s="10"/>
      <c r="O152" s="10"/>
      <c r="P152" s="10"/>
      <c r="Q152" s="10"/>
      <c r="R152" s="7" t="str">
        <f ca="1">IF(B152="","",IF(Q152&lt;&gt;"",Q152,IF(H152&gt;TODAY(),"لم يبدأ بعد",IF(J152&lt;TODAY(),"منتهٍ",IF(J152-TODAY()&lt;='القوائم والإعدادات'!$E$2,"قريب الانتهاء","ساري")))))</f>
        <v/>
      </c>
      <c r="S152" s="7" t="str">
        <f t="shared" ca="1" si="9"/>
        <v/>
      </c>
      <c r="T152" s="7" t="str">
        <f ca="1">IF(OR(R152="ساري",R152="قريب الانتهاء"),IF(S152&lt;='القوائم والإعدادات'!$E$4,"عاجل",IF(S152&lt;='القوائم والإعدادات'!$E$3,"خلال 60 يوم",IF(S152&lt;='القوائم والإعدادات'!$E$2,"خلال 90 يوم",""))),"")</f>
        <v/>
      </c>
      <c r="U152" s="7" t="str">
        <f>IF(B152="","",COUNTIF(التمديدات!$A$2:$A$301,B152))</f>
        <v/>
      </c>
      <c r="V152" s="10"/>
      <c r="W152" s="10"/>
      <c r="X152" s="7" t="str">
        <f t="shared" si="10"/>
        <v/>
      </c>
    </row>
    <row r="153" spans="1:24">
      <c r="A153" s="7">
        <v>152</v>
      </c>
      <c r="B153" s="10"/>
      <c r="C153" s="10"/>
      <c r="D153" s="10"/>
      <c r="E153" s="10"/>
      <c r="F153" s="10"/>
      <c r="G153" s="11"/>
      <c r="H153" s="11"/>
      <c r="I153" s="11"/>
      <c r="J153" s="12" t="str">
        <f>IF(B153="","",MAX(I153,_xlfn.MAXIFS(التمديدات!$C$2:$C$301,التمديدات!$A$2:$A$301,B153)))</f>
        <v/>
      </c>
      <c r="K153" s="7" t="str">
        <f t="shared" si="8"/>
        <v/>
      </c>
      <c r="L153" s="26"/>
      <c r="M153" s="27"/>
      <c r="N153" s="10"/>
      <c r="O153" s="10"/>
      <c r="P153" s="10"/>
      <c r="Q153" s="10"/>
      <c r="R153" s="7" t="str">
        <f ca="1">IF(B153="","",IF(Q153&lt;&gt;"",Q153,IF(H153&gt;TODAY(),"لم يبدأ بعد",IF(J153&lt;TODAY(),"منتهٍ",IF(J153-TODAY()&lt;='القوائم والإعدادات'!$E$2,"قريب الانتهاء","ساري")))))</f>
        <v/>
      </c>
      <c r="S153" s="7" t="str">
        <f t="shared" ca="1" si="9"/>
        <v/>
      </c>
      <c r="T153" s="7" t="str">
        <f ca="1">IF(OR(R153="ساري",R153="قريب الانتهاء"),IF(S153&lt;='القوائم والإعدادات'!$E$4,"عاجل",IF(S153&lt;='القوائم والإعدادات'!$E$3,"خلال 60 يوم",IF(S153&lt;='القوائم والإعدادات'!$E$2,"خلال 90 يوم",""))),"")</f>
        <v/>
      </c>
      <c r="U153" s="7" t="str">
        <f>IF(B153="","",COUNTIF(التمديدات!$A$2:$A$301,B153))</f>
        <v/>
      </c>
      <c r="V153" s="10"/>
      <c r="W153" s="10"/>
      <c r="X153" s="7" t="str">
        <f t="shared" si="10"/>
        <v/>
      </c>
    </row>
    <row r="154" spans="1:24">
      <c r="A154" s="7">
        <v>153</v>
      </c>
      <c r="B154" s="10"/>
      <c r="C154" s="10"/>
      <c r="D154" s="10"/>
      <c r="E154" s="10"/>
      <c r="F154" s="10"/>
      <c r="G154" s="11"/>
      <c r="H154" s="11"/>
      <c r="I154" s="11"/>
      <c r="J154" s="12" t="str">
        <f>IF(B154="","",MAX(I154,_xlfn.MAXIFS(التمديدات!$C$2:$C$301,التمديدات!$A$2:$A$301,B154)))</f>
        <v/>
      </c>
      <c r="K154" s="7" t="str">
        <f t="shared" si="8"/>
        <v/>
      </c>
      <c r="L154" s="26"/>
      <c r="M154" s="27"/>
      <c r="N154" s="10"/>
      <c r="O154" s="10"/>
      <c r="P154" s="10"/>
      <c r="Q154" s="10"/>
      <c r="R154" s="7" t="str">
        <f ca="1">IF(B154="","",IF(Q154&lt;&gt;"",Q154,IF(H154&gt;TODAY(),"لم يبدأ بعد",IF(J154&lt;TODAY(),"منتهٍ",IF(J154-TODAY()&lt;='القوائم والإعدادات'!$E$2,"قريب الانتهاء","ساري")))))</f>
        <v/>
      </c>
      <c r="S154" s="7" t="str">
        <f t="shared" ca="1" si="9"/>
        <v/>
      </c>
      <c r="T154" s="7" t="str">
        <f ca="1">IF(OR(R154="ساري",R154="قريب الانتهاء"),IF(S154&lt;='القوائم والإعدادات'!$E$4,"عاجل",IF(S154&lt;='القوائم والإعدادات'!$E$3,"خلال 60 يوم",IF(S154&lt;='القوائم والإعدادات'!$E$2,"خلال 90 يوم",""))),"")</f>
        <v/>
      </c>
      <c r="U154" s="7" t="str">
        <f>IF(B154="","",COUNTIF(التمديدات!$A$2:$A$301,B154))</f>
        <v/>
      </c>
      <c r="V154" s="10"/>
      <c r="W154" s="10"/>
      <c r="X154" s="7" t="str">
        <f t="shared" si="10"/>
        <v/>
      </c>
    </row>
    <row r="155" spans="1:24">
      <c r="A155" s="7">
        <v>154</v>
      </c>
      <c r="B155" s="10"/>
      <c r="C155" s="10"/>
      <c r="D155" s="10"/>
      <c r="E155" s="10"/>
      <c r="F155" s="10"/>
      <c r="G155" s="11"/>
      <c r="H155" s="11"/>
      <c r="I155" s="11"/>
      <c r="J155" s="12" t="str">
        <f>IF(B155="","",MAX(I155,_xlfn.MAXIFS(التمديدات!$C$2:$C$301,التمديدات!$A$2:$A$301,B155)))</f>
        <v/>
      </c>
      <c r="K155" s="7" t="str">
        <f t="shared" si="8"/>
        <v/>
      </c>
      <c r="L155" s="26"/>
      <c r="M155" s="27"/>
      <c r="N155" s="10"/>
      <c r="O155" s="10"/>
      <c r="P155" s="10"/>
      <c r="Q155" s="10"/>
      <c r="R155" s="7" t="str">
        <f ca="1">IF(B155="","",IF(Q155&lt;&gt;"",Q155,IF(H155&gt;TODAY(),"لم يبدأ بعد",IF(J155&lt;TODAY(),"منتهٍ",IF(J155-TODAY()&lt;='القوائم والإعدادات'!$E$2,"قريب الانتهاء","ساري")))))</f>
        <v/>
      </c>
      <c r="S155" s="7" t="str">
        <f t="shared" ca="1" si="9"/>
        <v/>
      </c>
      <c r="T155" s="7" t="str">
        <f ca="1">IF(OR(R155="ساري",R155="قريب الانتهاء"),IF(S155&lt;='القوائم والإعدادات'!$E$4,"عاجل",IF(S155&lt;='القوائم والإعدادات'!$E$3,"خلال 60 يوم",IF(S155&lt;='القوائم والإعدادات'!$E$2,"خلال 90 يوم",""))),"")</f>
        <v/>
      </c>
      <c r="U155" s="7" t="str">
        <f>IF(B155="","",COUNTIF(التمديدات!$A$2:$A$301,B155))</f>
        <v/>
      </c>
      <c r="V155" s="10"/>
      <c r="W155" s="10"/>
      <c r="X155" s="7" t="str">
        <f t="shared" si="10"/>
        <v/>
      </c>
    </row>
    <row r="156" spans="1:24">
      <c r="A156" s="7">
        <v>155</v>
      </c>
      <c r="B156" s="10"/>
      <c r="C156" s="10"/>
      <c r="D156" s="10"/>
      <c r="E156" s="10"/>
      <c r="F156" s="10"/>
      <c r="G156" s="11"/>
      <c r="H156" s="11"/>
      <c r="I156" s="11"/>
      <c r="J156" s="12" t="str">
        <f>IF(B156="","",MAX(I156,_xlfn.MAXIFS(التمديدات!$C$2:$C$301,التمديدات!$A$2:$A$301,B156)))</f>
        <v/>
      </c>
      <c r="K156" s="7" t="str">
        <f t="shared" si="8"/>
        <v/>
      </c>
      <c r="L156" s="26"/>
      <c r="M156" s="27"/>
      <c r="N156" s="10"/>
      <c r="O156" s="10"/>
      <c r="P156" s="10"/>
      <c r="Q156" s="10"/>
      <c r="R156" s="7" t="str">
        <f ca="1">IF(B156="","",IF(Q156&lt;&gt;"",Q156,IF(H156&gt;TODAY(),"لم يبدأ بعد",IF(J156&lt;TODAY(),"منتهٍ",IF(J156-TODAY()&lt;='القوائم والإعدادات'!$E$2,"قريب الانتهاء","ساري")))))</f>
        <v/>
      </c>
      <c r="S156" s="7" t="str">
        <f t="shared" ca="1" si="9"/>
        <v/>
      </c>
      <c r="T156" s="7" t="str">
        <f ca="1">IF(OR(R156="ساري",R156="قريب الانتهاء"),IF(S156&lt;='القوائم والإعدادات'!$E$4,"عاجل",IF(S156&lt;='القوائم والإعدادات'!$E$3,"خلال 60 يوم",IF(S156&lt;='القوائم والإعدادات'!$E$2,"خلال 90 يوم",""))),"")</f>
        <v/>
      </c>
      <c r="U156" s="7" t="str">
        <f>IF(B156="","",COUNTIF(التمديدات!$A$2:$A$301,B156))</f>
        <v/>
      </c>
      <c r="V156" s="10"/>
      <c r="W156" s="10"/>
      <c r="X156" s="7" t="str">
        <f t="shared" si="10"/>
        <v/>
      </c>
    </row>
    <row r="157" spans="1:24">
      <c r="A157" s="7">
        <v>156</v>
      </c>
      <c r="B157" s="10"/>
      <c r="C157" s="10"/>
      <c r="D157" s="10"/>
      <c r="E157" s="10"/>
      <c r="F157" s="10"/>
      <c r="G157" s="11"/>
      <c r="H157" s="11"/>
      <c r="I157" s="11"/>
      <c r="J157" s="12" t="str">
        <f>IF(B157="","",MAX(I157,_xlfn.MAXIFS(التمديدات!$C$2:$C$301,التمديدات!$A$2:$A$301,B157)))</f>
        <v/>
      </c>
      <c r="K157" s="7" t="str">
        <f t="shared" si="8"/>
        <v/>
      </c>
      <c r="L157" s="26"/>
      <c r="M157" s="27"/>
      <c r="N157" s="10"/>
      <c r="O157" s="10"/>
      <c r="P157" s="10"/>
      <c r="Q157" s="10"/>
      <c r="R157" s="7" t="str">
        <f ca="1">IF(B157="","",IF(Q157&lt;&gt;"",Q157,IF(H157&gt;TODAY(),"لم يبدأ بعد",IF(J157&lt;TODAY(),"منتهٍ",IF(J157-TODAY()&lt;='القوائم والإعدادات'!$E$2,"قريب الانتهاء","ساري")))))</f>
        <v/>
      </c>
      <c r="S157" s="7" t="str">
        <f t="shared" ca="1" si="9"/>
        <v/>
      </c>
      <c r="T157" s="7" t="str">
        <f ca="1">IF(OR(R157="ساري",R157="قريب الانتهاء"),IF(S157&lt;='القوائم والإعدادات'!$E$4,"عاجل",IF(S157&lt;='القوائم والإعدادات'!$E$3,"خلال 60 يوم",IF(S157&lt;='القوائم والإعدادات'!$E$2,"خلال 90 يوم",""))),"")</f>
        <v/>
      </c>
      <c r="U157" s="7" t="str">
        <f>IF(B157="","",COUNTIF(التمديدات!$A$2:$A$301,B157))</f>
        <v/>
      </c>
      <c r="V157" s="10"/>
      <c r="W157" s="10"/>
      <c r="X157" s="7" t="str">
        <f t="shared" si="10"/>
        <v/>
      </c>
    </row>
    <row r="158" spans="1:24">
      <c r="A158" s="7">
        <v>157</v>
      </c>
      <c r="B158" s="10"/>
      <c r="C158" s="10"/>
      <c r="D158" s="10"/>
      <c r="E158" s="10"/>
      <c r="F158" s="10"/>
      <c r="G158" s="11"/>
      <c r="H158" s="11"/>
      <c r="I158" s="11"/>
      <c r="J158" s="12" t="str">
        <f>IF(B158="","",MAX(I158,_xlfn.MAXIFS(التمديدات!$C$2:$C$301,التمديدات!$A$2:$A$301,B158)))</f>
        <v/>
      </c>
      <c r="K158" s="7" t="str">
        <f t="shared" si="8"/>
        <v/>
      </c>
      <c r="L158" s="26"/>
      <c r="M158" s="27"/>
      <c r="N158" s="10"/>
      <c r="O158" s="10"/>
      <c r="P158" s="10"/>
      <c r="Q158" s="10"/>
      <c r="R158" s="7" t="str">
        <f ca="1">IF(B158="","",IF(Q158&lt;&gt;"",Q158,IF(H158&gt;TODAY(),"لم يبدأ بعد",IF(J158&lt;TODAY(),"منتهٍ",IF(J158-TODAY()&lt;='القوائم والإعدادات'!$E$2,"قريب الانتهاء","ساري")))))</f>
        <v/>
      </c>
      <c r="S158" s="7" t="str">
        <f t="shared" ca="1" si="9"/>
        <v/>
      </c>
      <c r="T158" s="7" t="str">
        <f ca="1">IF(OR(R158="ساري",R158="قريب الانتهاء"),IF(S158&lt;='القوائم والإعدادات'!$E$4,"عاجل",IF(S158&lt;='القوائم والإعدادات'!$E$3,"خلال 60 يوم",IF(S158&lt;='القوائم والإعدادات'!$E$2,"خلال 90 يوم",""))),"")</f>
        <v/>
      </c>
      <c r="U158" s="7" t="str">
        <f>IF(B158="","",COUNTIF(التمديدات!$A$2:$A$301,B158))</f>
        <v/>
      </c>
      <c r="V158" s="10"/>
      <c r="W158" s="10"/>
      <c r="X158" s="7" t="str">
        <f t="shared" si="10"/>
        <v/>
      </c>
    </row>
    <row r="159" spans="1:24">
      <c r="A159" s="7">
        <v>158</v>
      </c>
      <c r="B159" s="10"/>
      <c r="C159" s="10"/>
      <c r="D159" s="10"/>
      <c r="E159" s="10"/>
      <c r="F159" s="10"/>
      <c r="G159" s="11"/>
      <c r="H159" s="11"/>
      <c r="I159" s="11"/>
      <c r="J159" s="12" t="str">
        <f>IF(B159="","",MAX(I159,_xlfn.MAXIFS(التمديدات!$C$2:$C$301,التمديدات!$A$2:$A$301,B159)))</f>
        <v/>
      </c>
      <c r="K159" s="7" t="str">
        <f t="shared" si="8"/>
        <v/>
      </c>
      <c r="L159" s="26"/>
      <c r="M159" s="27"/>
      <c r="N159" s="10"/>
      <c r="O159" s="10"/>
      <c r="P159" s="10"/>
      <c r="Q159" s="10"/>
      <c r="R159" s="7" t="str">
        <f ca="1">IF(B159="","",IF(Q159&lt;&gt;"",Q159,IF(H159&gt;TODAY(),"لم يبدأ بعد",IF(J159&lt;TODAY(),"منتهٍ",IF(J159-TODAY()&lt;='القوائم والإعدادات'!$E$2,"قريب الانتهاء","ساري")))))</f>
        <v/>
      </c>
      <c r="S159" s="7" t="str">
        <f t="shared" ca="1" si="9"/>
        <v/>
      </c>
      <c r="T159" s="7" t="str">
        <f ca="1">IF(OR(R159="ساري",R159="قريب الانتهاء"),IF(S159&lt;='القوائم والإعدادات'!$E$4,"عاجل",IF(S159&lt;='القوائم والإعدادات'!$E$3,"خلال 60 يوم",IF(S159&lt;='القوائم والإعدادات'!$E$2,"خلال 90 يوم",""))),"")</f>
        <v/>
      </c>
      <c r="U159" s="7" t="str">
        <f>IF(B159="","",COUNTIF(التمديدات!$A$2:$A$301,B159))</f>
        <v/>
      </c>
      <c r="V159" s="10"/>
      <c r="W159" s="10"/>
      <c r="X159" s="7" t="str">
        <f t="shared" si="10"/>
        <v/>
      </c>
    </row>
    <row r="160" spans="1:24">
      <c r="A160" s="7">
        <v>159</v>
      </c>
      <c r="B160" s="10"/>
      <c r="C160" s="10"/>
      <c r="D160" s="10"/>
      <c r="E160" s="10"/>
      <c r="F160" s="10"/>
      <c r="G160" s="11"/>
      <c r="H160" s="11"/>
      <c r="I160" s="11"/>
      <c r="J160" s="12" t="str">
        <f>IF(B160="","",MAX(I160,_xlfn.MAXIFS(التمديدات!$C$2:$C$301,التمديدات!$A$2:$A$301,B160)))</f>
        <v/>
      </c>
      <c r="K160" s="7" t="str">
        <f t="shared" si="8"/>
        <v/>
      </c>
      <c r="L160" s="26"/>
      <c r="M160" s="27"/>
      <c r="N160" s="10"/>
      <c r="O160" s="10"/>
      <c r="P160" s="10"/>
      <c r="Q160" s="10"/>
      <c r="R160" s="7" t="str">
        <f ca="1">IF(B160="","",IF(Q160&lt;&gt;"",Q160,IF(H160&gt;TODAY(),"لم يبدأ بعد",IF(J160&lt;TODAY(),"منتهٍ",IF(J160-TODAY()&lt;='القوائم والإعدادات'!$E$2,"قريب الانتهاء","ساري")))))</f>
        <v/>
      </c>
      <c r="S160" s="7" t="str">
        <f t="shared" ca="1" si="9"/>
        <v/>
      </c>
      <c r="T160" s="7" t="str">
        <f ca="1">IF(OR(R160="ساري",R160="قريب الانتهاء"),IF(S160&lt;='القوائم والإعدادات'!$E$4,"عاجل",IF(S160&lt;='القوائم والإعدادات'!$E$3,"خلال 60 يوم",IF(S160&lt;='القوائم والإعدادات'!$E$2,"خلال 90 يوم",""))),"")</f>
        <v/>
      </c>
      <c r="U160" s="7" t="str">
        <f>IF(B160="","",COUNTIF(التمديدات!$A$2:$A$301,B160))</f>
        <v/>
      </c>
      <c r="V160" s="10"/>
      <c r="W160" s="10"/>
      <c r="X160" s="7" t="str">
        <f t="shared" si="10"/>
        <v/>
      </c>
    </row>
    <row r="161" spans="1:24">
      <c r="A161" s="7">
        <v>160</v>
      </c>
      <c r="B161" s="10"/>
      <c r="C161" s="10"/>
      <c r="D161" s="10"/>
      <c r="E161" s="10"/>
      <c r="F161" s="10"/>
      <c r="G161" s="11"/>
      <c r="H161" s="11"/>
      <c r="I161" s="11"/>
      <c r="J161" s="12" t="str">
        <f>IF(B161="","",MAX(I161,_xlfn.MAXIFS(التمديدات!$C$2:$C$301,التمديدات!$A$2:$A$301,B161)))</f>
        <v/>
      </c>
      <c r="K161" s="7" t="str">
        <f t="shared" si="8"/>
        <v/>
      </c>
      <c r="L161" s="26"/>
      <c r="M161" s="27"/>
      <c r="N161" s="10"/>
      <c r="O161" s="10"/>
      <c r="P161" s="10"/>
      <c r="Q161" s="10"/>
      <c r="R161" s="7" t="str">
        <f ca="1">IF(B161="","",IF(Q161&lt;&gt;"",Q161,IF(H161&gt;TODAY(),"لم يبدأ بعد",IF(J161&lt;TODAY(),"منتهٍ",IF(J161-TODAY()&lt;='القوائم والإعدادات'!$E$2,"قريب الانتهاء","ساري")))))</f>
        <v/>
      </c>
      <c r="S161" s="7" t="str">
        <f t="shared" ca="1" si="9"/>
        <v/>
      </c>
      <c r="T161" s="7" t="str">
        <f ca="1">IF(OR(R161="ساري",R161="قريب الانتهاء"),IF(S161&lt;='القوائم والإعدادات'!$E$4,"عاجل",IF(S161&lt;='القوائم والإعدادات'!$E$3,"خلال 60 يوم",IF(S161&lt;='القوائم والإعدادات'!$E$2,"خلال 90 يوم",""))),"")</f>
        <v/>
      </c>
      <c r="U161" s="7" t="str">
        <f>IF(B161="","",COUNTIF(التمديدات!$A$2:$A$301,B161))</f>
        <v/>
      </c>
      <c r="V161" s="10"/>
      <c r="W161" s="10"/>
      <c r="X161" s="7" t="str">
        <f t="shared" si="10"/>
        <v/>
      </c>
    </row>
    <row r="162" spans="1:24">
      <c r="A162" s="7">
        <v>161</v>
      </c>
      <c r="B162" s="10"/>
      <c r="C162" s="10"/>
      <c r="D162" s="10"/>
      <c r="E162" s="10"/>
      <c r="F162" s="10"/>
      <c r="G162" s="11"/>
      <c r="H162" s="11"/>
      <c r="I162" s="11"/>
      <c r="J162" s="12" t="str">
        <f>IF(B162="","",MAX(I162,_xlfn.MAXIFS(التمديدات!$C$2:$C$301,التمديدات!$A$2:$A$301,B162)))</f>
        <v/>
      </c>
      <c r="K162" s="7" t="str">
        <f t="shared" si="8"/>
        <v/>
      </c>
      <c r="L162" s="26"/>
      <c r="M162" s="27"/>
      <c r="N162" s="10"/>
      <c r="O162" s="10"/>
      <c r="P162" s="10"/>
      <c r="Q162" s="10"/>
      <c r="R162" s="7" t="str">
        <f ca="1">IF(B162="","",IF(Q162&lt;&gt;"",Q162,IF(H162&gt;TODAY(),"لم يبدأ بعد",IF(J162&lt;TODAY(),"منتهٍ",IF(J162-TODAY()&lt;='القوائم والإعدادات'!$E$2,"قريب الانتهاء","ساري")))))</f>
        <v/>
      </c>
      <c r="S162" s="7" t="str">
        <f t="shared" ca="1" si="9"/>
        <v/>
      </c>
      <c r="T162" s="7" t="str">
        <f ca="1">IF(OR(R162="ساري",R162="قريب الانتهاء"),IF(S162&lt;='القوائم والإعدادات'!$E$4,"عاجل",IF(S162&lt;='القوائم والإعدادات'!$E$3,"خلال 60 يوم",IF(S162&lt;='القوائم والإعدادات'!$E$2,"خلال 90 يوم",""))),"")</f>
        <v/>
      </c>
      <c r="U162" s="7" t="str">
        <f>IF(B162="","",COUNTIF(التمديدات!$A$2:$A$301,B162))</f>
        <v/>
      </c>
      <c r="V162" s="10"/>
      <c r="W162" s="10"/>
      <c r="X162" s="7" t="str">
        <f t="shared" si="10"/>
        <v/>
      </c>
    </row>
    <row r="163" spans="1:24">
      <c r="A163" s="7">
        <v>162</v>
      </c>
      <c r="B163" s="10"/>
      <c r="C163" s="10"/>
      <c r="D163" s="10"/>
      <c r="E163" s="10"/>
      <c r="F163" s="10"/>
      <c r="G163" s="11"/>
      <c r="H163" s="11"/>
      <c r="I163" s="11"/>
      <c r="J163" s="12" t="str">
        <f>IF(B163="","",MAX(I163,_xlfn.MAXIFS(التمديدات!$C$2:$C$301,التمديدات!$A$2:$A$301,B163)))</f>
        <v/>
      </c>
      <c r="K163" s="7" t="str">
        <f t="shared" si="8"/>
        <v/>
      </c>
      <c r="L163" s="26"/>
      <c r="M163" s="27"/>
      <c r="N163" s="10"/>
      <c r="O163" s="10"/>
      <c r="P163" s="10"/>
      <c r="Q163" s="10"/>
      <c r="R163" s="7" t="str">
        <f ca="1">IF(B163="","",IF(Q163&lt;&gt;"",Q163,IF(H163&gt;TODAY(),"لم يبدأ بعد",IF(J163&lt;TODAY(),"منتهٍ",IF(J163-TODAY()&lt;='القوائم والإعدادات'!$E$2,"قريب الانتهاء","ساري")))))</f>
        <v/>
      </c>
      <c r="S163" s="7" t="str">
        <f t="shared" ca="1" si="9"/>
        <v/>
      </c>
      <c r="T163" s="7" t="str">
        <f ca="1">IF(OR(R163="ساري",R163="قريب الانتهاء"),IF(S163&lt;='القوائم والإعدادات'!$E$4,"عاجل",IF(S163&lt;='القوائم والإعدادات'!$E$3,"خلال 60 يوم",IF(S163&lt;='القوائم والإعدادات'!$E$2,"خلال 90 يوم",""))),"")</f>
        <v/>
      </c>
      <c r="U163" s="7" t="str">
        <f>IF(B163="","",COUNTIF(التمديدات!$A$2:$A$301,B163))</f>
        <v/>
      </c>
      <c r="V163" s="10"/>
      <c r="W163" s="10"/>
      <c r="X163" s="7" t="str">
        <f t="shared" si="10"/>
        <v/>
      </c>
    </row>
    <row r="164" spans="1:24">
      <c r="A164" s="7">
        <v>163</v>
      </c>
      <c r="B164" s="10"/>
      <c r="C164" s="10"/>
      <c r="D164" s="10"/>
      <c r="E164" s="10"/>
      <c r="F164" s="10"/>
      <c r="G164" s="11"/>
      <c r="H164" s="11"/>
      <c r="I164" s="11"/>
      <c r="J164" s="12" t="str">
        <f>IF(B164="","",MAX(I164,_xlfn.MAXIFS(التمديدات!$C$2:$C$301,التمديدات!$A$2:$A$301,B164)))</f>
        <v/>
      </c>
      <c r="K164" s="7" t="str">
        <f t="shared" si="8"/>
        <v/>
      </c>
      <c r="L164" s="26"/>
      <c r="M164" s="27"/>
      <c r="N164" s="10"/>
      <c r="O164" s="10"/>
      <c r="P164" s="10"/>
      <c r="Q164" s="10"/>
      <c r="R164" s="7" t="str">
        <f ca="1">IF(B164="","",IF(Q164&lt;&gt;"",Q164,IF(H164&gt;TODAY(),"لم يبدأ بعد",IF(J164&lt;TODAY(),"منتهٍ",IF(J164-TODAY()&lt;='القوائم والإعدادات'!$E$2,"قريب الانتهاء","ساري")))))</f>
        <v/>
      </c>
      <c r="S164" s="7" t="str">
        <f t="shared" ca="1" si="9"/>
        <v/>
      </c>
      <c r="T164" s="7" t="str">
        <f ca="1">IF(OR(R164="ساري",R164="قريب الانتهاء"),IF(S164&lt;='القوائم والإعدادات'!$E$4,"عاجل",IF(S164&lt;='القوائم والإعدادات'!$E$3,"خلال 60 يوم",IF(S164&lt;='القوائم والإعدادات'!$E$2,"خلال 90 يوم",""))),"")</f>
        <v/>
      </c>
      <c r="U164" s="7" t="str">
        <f>IF(B164="","",COUNTIF(التمديدات!$A$2:$A$301,B164))</f>
        <v/>
      </c>
      <c r="V164" s="10"/>
      <c r="W164" s="10"/>
      <c r="X164" s="7" t="str">
        <f t="shared" si="10"/>
        <v/>
      </c>
    </row>
    <row r="165" spans="1:24">
      <c r="A165" s="7">
        <v>164</v>
      </c>
      <c r="B165" s="10"/>
      <c r="C165" s="10"/>
      <c r="D165" s="10"/>
      <c r="E165" s="10"/>
      <c r="F165" s="10"/>
      <c r="G165" s="11"/>
      <c r="H165" s="11"/>
      <c r="I165" s="11"/>
      <c r="J165" s="12" t="str">
        <f>IF(B165="","",MAX(I165,_xlfn.MAXIFS(التمديدات!$C$2:$C$301,التمديدات!$A$2:$A$301,B165)))</f>
        <v/>
      </c>
      <c r="K165" s="7" t="str">
        <f t="shared" si="8"/>
        <v/>
      </c>
      <c r="L165" s="26"/>
      <c r="M165" s="27"/>
      <c r="N165" s="10"/>
      <c r="O165" s="10"/>
      <c r="P165" s="10"/>
      <c r="Q165" s="10"/>
      <c r="R165" s="7" t="str">
        <f ca="1">IF(B165="","",IF(Q165&lt;&gt;"",Q165,IF(H165&gt;TODAY(),"لم يبدأ بعد",IF(J165&lt;TODAY(),"منتهٍ",IF(J165-TODAY()&lt;='القوائم والإعدادات'!$E$2,"قريب الانتهاء","ساري")))))</f>
        <v/>
      </c>
      <c r="S165" s="7" t="str">
        <f t="shared" ca="1" si="9"/>
        <v/>
      </c>
      <c r="T165" s="7" t="str">
        <f ca="1">IF(OR(R165="ساري",R165="قريب الانتهاء"),IF(S165&lt;='القوائم والإعدادات'!$E$4,"عاجل",IF(S165&lt;='القوائم والإعدادات'!$E$3,"خلال 60 يوم",IF(S165&lt;='القوائم والإعدادات'!$E$2,"خلال 90 يوم",""))),"")</f>
        <v/>
      </c>
      <c r="U165" s="7" t="str">
        <f>IF(B165="","",COUNTIF(التمديدات!$A$2:$A$301,B165))</f>
        <v/>
      </c>
      <c r="V165" s="10"/>
      <c r="W165" s="10"/>
      <c r="X165" s="7" t="str">
        <f t="shared" si="10"/>
        <v/>
      </c>
    </row>
    <row r="166" spans="1:24">
      <c r="A166" s="7">
        <v>165</v>
      </c>
      <c r="B166" s="10"/>
      <c r="C166" s="10"/>
      <c r="D166" s="10"/>
      <c r="E166" s="10"/>
      <c r="F166" s="10"/>
      <c r="G166" s="11"/>
      <c r="H166" s="11"/>
      <c r="I166" s="11"/>
      <c r="J166" s="12" t="str">
        <f>IF(B166="","",MAX(I166,_xlfn.MAXIFS(التمديدات!$C$2:$C$301,التمديدات!$A$2:$A$301,B166)))</f>
        <v/>
      </c>
      <c r="K166" s="7" t="str">
        <f t="shared" si="8"/>
        <v/>
      </c>
      <c r="L166" s="26"/>
      <c r="M166" s="27"/>
      <c r="N166" s="10"/>
      <c r="O166" s="10"/>
      <c r="P166" s="10"/>
      <c r="Q166" s="10"/>
      <c r="R166" s="7" t="str">
        <f ca="1">IF(B166="","",IF(Q166&lt;&gt;"",Q166,IF(H166&gt;TODAY(),"لم يبدأ بعد",IF(J166&lt;TODAY(),"منتهٍ",IF(J166-TODAY()&lt;='القوائم والإعدادات'!$E$2,"قريب الانتهاء","ساري")))))</f>
        <v/>
      </c>
      <c r="S166" s="7" t="str">
        <f t="shared" ca="1" si="9"/>
        <v/>
      </c>
      <c r="T166" s="7" t="str">
        <f ca="1">IF(OR(R166="ساري",R166="قريب الانتهاء"),IF(S166&lt;='القوائم والإعدادات'!$E$4,"عاجل",IF(S166&lt;='القوائم والإعدادات'!$E$3,"خلال 60 يوم",IF(S166&lt;='القوائم والإعدادات'!$E$2,"خلال 90 يوم",""))),"")</f>
        <v/>
      </c>
      <c r="U166" s="7" t="str">
        <f>IF(B166="","",COUNTIF(التمديدات!$A$2:$A$301,B166))</f>
        <v/>
      </c>
      <c r="V166" s="10"/>
      <c r="W166" s="10"/>
      <c r="X166" s="7" t="str">
        <f t="shared" si="10"/>
        <v/>
      </c>
    </row>
    <row r="167" spans="1:24">
      <c r="A167" s="7">
        <v>166</v>
      </c>
      <c r="B167" s="10"/>
      <c r="C167" s="10"/>
      <c r="D167" s="10"/>
      <c r="E167" s="10"/>
      <c r="F167" s="10"/>
      <c r="G167" s="11"/>
      <c r="H167" s="11"/>
      <c r="I167" s="11"/>
      <c r="J167" s="12" t="str">
        <f>IF(B167="","",MAX(I167,_xlfn.MAXIFS(التمديدات!$C$2:$C$301,التمديدات!$A$2:$A$301,B167)))</f>
        <v/>
      </c>
      <c r="K167" s="7" t="str">
        <f t="shared" si="8"/>
        <v/>
      </c>
      <c r="L167" s="26"/>
      <c r="M167" s="27"/>
      <c r="N167" s="10"/>
      <c r="O167" s="10"/>
      <c r="P167" s="10"/>
      <c r="Q167" s="10"/>
      <c r="R167" s="7" t="str">
        <f ca="1">IF(B167="","",IF(Q167&lt;&gt;"",Q167,IF(H167&gt;TODAY(),"لم يبدأ بعد",IF(J167&lt;TODAY(),"منتهٍ",IF(J167-TODAY()&lt;='القوائم والإعدادات'!$E$2,"قريب الانتهاء","ساري")))))</f>
        <v/>
      </c>
      <c r="S167" s="7" t="str">
        <f t="shared" ca="1" si="9"/>
        <v/>
      </c>
      <c r="T167" s="7" t="str">
        <f ca="1">IF(OR(R167="ساري",R167="قريب الانتهاء"),IF(S167&lt;='القوائم والإعدادات'!$E$4,"عاجل",IF(S167&lt;='القوائم والإعدادات'!$E$3,"خلال 60 يوم",IF(S167&lt;='القوائم والإعدادات'!$E$2,"خلال 90 يوم",""))),"")</f>
        <v/>
      </c>
      <c r="U167" s="7" t="str">
        <f>IF(B167="","",COUNTIF(التمديدات!$A$2:$A$301,B167))</f>
        <v/>
      </c>
      <c r="V167" s="10"/>
      <c r="W167" s="10"/>
      <c r="X167" s="7" t="str">
        <f t="shared" si="10"/>
        <v/>
      </c>
    </row>
    <row r="168" spans="1:24">
      <c r="A168" s="7">
        <v>167</v>
      </c>
      <c r="B168" s="10"/>
      <c r="C168" s="10"/>
      <c r="D168" s="10"/>
      <c r="E168" s="10"/>
      <c r="F168" s="10"/>
      <c r="G168" s="11"/>
      <c r="H168" s="11"/>
      <c r="I168" s="11"/>
      <c r="J168" s="12" t="str">
        <f>IF(B168="","",MAX(I168,_xlfn.MAXIFS(التمديدات!$C$2:$C$301,التمديدات!$A$2:$A$301,B168)))</f>
        <v/>
      </c>
      <c r="K168" s="7" t="str">
        <f t="shared" si="8"/>
        <v/>
      </c>
      <c r="L168" s="26"/>
      <c r="M168" s="27"/>
      <c r="N168" s="10"/>
      <c r="O168" s="10"/>
      <c r="P168" s="10"/>
      <c r="Q168" s="10"/>
      <c r="R168" s="7" t="str">
        <f ca="1">IF(B168="","",IF(Q168&lt;&gt;"",Q168,IF(H168&gt;TODAY(),"لم يبدأ بعد",IF(J168&lt;TODAY(),"منتهٍ",IF(J168-TODAY()&lt;='القوائم والإعدادات'!$E$2,"قريب الانتهاء","ساري")))))</f>
        <v/>
      </c>
      <c r="S168" s="7" t="str">
        <f t="shared" ca="1" si="9"/>
        <v/>
      </c>
      <c r="T168" s="7" t="str">
        <f ca="1">IF(OR(R168="ساري",R168="قريب الانتهاء"),IF(S168&lt;='القوائم والإعدادات'!$E$4,"عاجل",IF(S168&lt;='القوائم والإعدادات'!$E$3,"خلال 60 يوم",IF(S168&lt;='القوائم والإعدادات'!$E$2,"خلال 90 يوم",""))),"")</f>
        <v/>
      </c>
      <c r="U168" s="7" t="str">
        <f>IF(B168="","",COUNTIF(التمديدات!$A$2:$A$301,B168))</f>
        <v/>
      </c>
      <c r="V168" s="10"/>
      <c r="W168" s="10"/>
      <c r="X168" s="7" t="str">
        <f t="shared" si="10"/>
        <v/>
      </c>
    </row>
    <row r="169" spans="1:24">
      <c r="A169" s="7">
        <v>168</v>
      </c>
      <c r="B169" s="10"/>
      <c r="C169" s="10"/>
      <c r="D169" s="10"/>
      <c r="E169" s="10"/>
      <c r="F169" s="10"/>
      <c r="G169" s="11"/>
      <c r="H169" s="11"/>
      <c r="I169" s="11"/>
      <c r="J169" s="12" t="str">
        <f>IF(B169="","",MAX(I169,_xlfn.MAXIFS(التمديدات!$C$2:$C$301,التمديدات!$A$2:$A$301,B169)))</f>
        <v/>
      </c>
      <c r="K169" s="7" t="str">
        <f t="shared" si="8"/>
        <v/>
      </c>
      <c r="L169" s="26"/>
      <c r="M169" s="27"/>
      <c r="N169" s="10"/>
      <c r="O169" s="10"/>
      <c r="P169" s="10"/>
      <c r="Q169" s="10"/>
      <c r="R169" s="7" t="str">
        <f ca="1">IF(B169="","",IF(Q169&lt;&gt;"",Q169,IF(H169&gt;TODAY(),"لم يبدأ بعد",IF(J169&lt;TODAY(),"منتهٍ",IF(J169-TODAY()&lt;='القوائم والإعدادات'!$E$2,"قريب الانتهاء","ساري")))))</f>
        <v/>
      </c>
      <c r="S169" s="7" t="str">
        <f t="shared" ca="1" si="9"/>
        <v/>
      </c>
      <c r="T169" s="7" t="str">
        <f ca="1">IF(OR(R169="ساري",R169="قريب الانتهاء"),IF(S169&lt;='القوائم والإعدادات'!$E$4,"عاجل",IF(S169&lt;='القوائم والإعدادات'!$E$3,"خلال 60 يوم",IF(S169&lt;='القوائم والإعدادات'!$E$2,"خلال 90 يوم",""))),"")</f>
        <v/>
      </c>
      <c r="U169" s="7" t="str">
        <f>IF(B169="","",COUNTIF(التمديدات!$A$2:$A$301,B169))</f>
        <v/>
      </c>
      <c r="V169" s="10"/>
      <c r="W169" s="10"/>
      <c r="X169" s="7" t="str">
        <f t="shared" si="10"/>
        <v/>
      </c>
    </row>
    <row r="170" spans="1:24">
      <c r="A170" s="7">
        <v>169</v>
      </c>
      <c r="B170" s="10"/>
      <c r="C170" s="10"/>
      <c r="D170" s="10"/>
      <c r="E170" s="10"/>
      <c r="F170" s="10"/>
      <c r="G170" s="11"/>
      <c r="H170" s="11"/>
      <c r="I170" s="11"/>
      <c r="J170" s="12" t="str">
        <f>IF(B170="","",MAX(I170,_xlfn.MAXIFS(التمديدات!$C$2:$C$301,التمديدات!$A$2:$A$301,B170)))</f>
        <v/>
      </c>
      <c r="K170" s="7" t="str">
        <f t="shared" si="8"/>
        <v/>
      </c>
      <c r="L170" s="26"/>
      <c r="M170" s="27"/>
      <c r="N170" s="10"/>
      <c r="O170" s="10"/>
      <c r="P170" s="10"/>
      <c r="Q170" s="10"/>
      <c r="R170" s="7" t="str">
        <f ca="1">IF(B170="","",IF(Q170&lt;&gt;"",Q170,IF(H170&gt;TODAY(),"لم يبدأ بعد",IF(J170&lt;TODAY(),"منتهٍ",IF(J170-TODAY()&lt;='القوائم والإعدادات'!$E$2,"قريب الانتهاء","ساري")))))</f>
        <v/>
      </c>
      <c r="S170" s="7" t="str">
        <f t="shared" ca="1" si="9"/>
        <v/>
      </c>
      <c r="T170" s="7" t="str">
        <f ca="1">IF(OR(R170="ساري",R170="قريب الانتهاء"),IF(S170&lt;='القوائم والإعدادات'!$E$4,"عاجل",IF(S170&lt;='القوائم والإعدادات'!$E$3,"خلال 60 يوم",IF(S170&lt;='القوائم والإعدادات'!$E$2,"خلال 90 يوم",""))),"")</f>
        <v/>
      </c>
      <c r="U170" s="7" t="str">
        <f>IF(B170="","",COUNTIF(التمديدات!$A$2:$A$301,B170))</f>
        <v/>
      </c>
      <c r="V170" s="10"/>
      <c r="W170" s="10"/>
      <c r="X170" s="7" t="str">
        <f t="shared" si="10"/>
        <v/>
      </c>
    </row>
    <row r="171" spans="1:24">
      <c r="A171" s="7">
        <v>170</v>
      </c>
      <c r="B171" s="10"/>
      <c r="C171" s="10"/>
      <c r="D171" s="10"/>
      <c r="E171" s="10"/>
      <c r="F171" s="10"/>
      <c r="G171" s="11"/>
      <c r="H171" s="11"/>
      <c r="I171" s="11"/>
      <c r="J171" s="12" t="str">
        <f>IF(B171="","",MAX(I171,_xlfn.MAXIFS(التمديدات!$C$2:$C$301,التمديدات!$A$2:$A$301,B171)))</f>
        <v/>
      </c>
      <c r="K171" s="7" t="str">
        <f t="shared" si="8"/>
        <v/>
      </c>
      <c r="L171" s="26"/>
      <c r="M171" s="27"/>
      <c r="N171" s="10"/>
      <c r="O171" s="10"/>
      <c r="P171" s="10"/>
      <c r="Q171" s="10"/>
      <c r="R171" s="7" t="str">
        <f ca="1">IF(B171="","",IF(Q171&lt;&gt;"",Q171,IF(H171&gt;TODAY(),"لم يبدأ بعد",IF(J171&lt;TODAY(),"منتهٍ",IF(J171-TODAY()&lt;='القوائم والإعدادات'!$E$2,"قريب الانتهاء","ساري")))))</f>
        <v/>
      </c>
      <c r="S171" s="7" t="str">
        <f t="shared" ca="1" si="9"/>
        <v/>
      </c>
      <c r="T171" s="7" t="str">
        <f ca="1">IF(OR(R171="ساري",R171="قريب الانتهاء"),IF(S171&lt;='القوائم والإعدادات'!$E$4,"عاجل",IF(S171&lt;='القوائم والإعدادات'!$E$3,"خلال 60 يوم",IF(S171&lt;='القوائم والإعدادات'!$E$2,"خلال 90 يوم",""))),"")</f>
        <v/>
      </c>
      <c r="U171" s="7" t="str">
        <f>IF(B171="","",COUNTIF(التمديدات!$A$2:$A$301,B171))</f>
        <v/>
      </c>
      <c r="V171" s="10"/>
      <c r="W171" s="10"/>
      <c r="X171" s="7" t="str">
        <f t="shared" si="10"/>
        <v/>
      </c>
    </row>
    <row r="172" spans="1:24">
      <c r="A172" s="7">
        <v>171</v>
      </c>
      <c r="B172" s="10"/>
      <c r="C172" s="10"/>
      <c r="D172" s="10"/>
      <c r="E172" s="10"/>
      <c r="F172" s="10"/>
      <c r="G172" s="11"/>
      <c r="H172" s="11"/>
      <c r="I172" s="11"/>
      <c r="J172" s="12" t="str">
        <f>IF(B172="","",MAX(I172,_xlfn.MAXIFS(التمديدات!$C$2:$C$301,التمديدات!$A$2:$A$301,B172)))</f>
        <v/>
      </c>
      <c r="K172" s="7" t="str">
        <f t="shared" si="8"/>
        <v/>
      </c>
      <c r="L172" s="26"/>
      <c r="M172" s="27"/>
      <c r="N172" s="10"/>
      <c r="O172" s="10"/>
      <c r="P172" s="10"/>
      <c r="Q172" s="10"/>
      <c r="R172" s="7" t="str">
        <f ca="1">IF(B172="","",IF(Q172&lt;&gt;"",Q172,IF(H172&gt;TODAY(),"لم يبدأ بعد",IF(J172&lt;TODAY(),"منتهٍ",IF(J172-TODAY()&lt;='القوائم والإعدادات'!$E$2,"قريب الانتهاء","ساري")))))</f>
        <v/>
      </c>
      <c r="S172" s="7" t="str">
        <f t="shared" ca="1" si="9"/>
        <v/>
      </c>
      <c r="T172" s="7" t="str">
        <f ca="1">IF(OR(R172="ساري",R172="قريب الانتهاء"),IF(S172&lt;='القوائم والإعدادات'!$E$4,"عاجل",IF(S172&lt;='القوائم والإعدادات'!$E$3,"خلال 60 يوم",IF(S172&lt;='القوائم والإعدادات'!$E$2,"خلال 90 يوم",""))),"")</f>
        <v/>
      </c>
      <c r="U172" s="7" t="str">
        <f>IF(B172="","",COUNTIF(التمديدات!$A$2:$A$301,B172))</f>
        <v/>
      </c>
      <c r="V172" s="10"/>
      <c r="W172" s="10"/>
      <c r="X172" s="7" t="str">
        <f t="shared" si="10"/>
        <v/>
      </c>
    </row>
    <row r="173" spans="1:24">
      <c r="A173" s="7">
        <v>172</v>
      </c>
      <c r="B173" s="10"/>
      <c r="C173" s="10"/>
      <c r="D173" s="10"/>
      <c r="E173" s="10"/>
      <c r="F173" s="10"/>
      <c r="G173" s="11"/>
      <c r="H173" s="11"/>
      <c r="I173" s="11"/>
      <c r="J173" s="12" t="str">
        <f>IF(B173="","",MAX(I173,_xlfn.MAXIFS(التمديدات!$C$2:$C$301,التمديدات!$A$2:$A$301,B173)))</f>
        <v/>
      </c>
      <c r="K173" s="7" t="str">
        <f t="shared" si="8"/>
        <v/>
      </c>
      <c r="L173" s="26"/>
      <c r="M173" s="27"/>
      <c r="N173" s="10"/>
      <c r="O173" s="10"/>
      <c r="P173" s="10"/>
      <c r="Q173" s="10"/>
      <c r="R173" s="7" t="str">
        <f ca="1">IF(B173="","",IF(Q173&lt;&gt;"",Q173,IF(H173&gt;TODAY(),"لم يبدأ بعد",IF(J173&lt;TODAY(),"منتهٍ",IF(J173-TODAY()&lt;='القوائم والإعدادات'!$E$2,"قريب الانتهاء","ساري")))))</f>
        <v/>
      </c>
      <c r="S173" s="7" t="str">
        <f t="shared" ca="1" si="9"/>
        <v/>
      </c>
      <c r="T173" s="7" t="str">
        <f ca="1">IF(OR(R173="ساري",R173="قريب الانتهاء"),IF(S173&lt;='القوائم والإعدادات'!$E$4,"عاجل",IF(S173&lt;='القوائم والإعدادات'!$E$3,"خلال 60 يوم",IF(S173&lt;='القوائم والإعدادات'!$E$2,"خلال 90 يوم",""))),"")</f>
        <v/>
      </c>
      <c r="U173" s="7" t="str">
        <f>IF(B173="","",COUNTIF(التمديدات!$A$2:$A$301,B173))</f>
        <v/>
      </c>
      <c r="V173" s="10"/>
      <c r="W173" s="10"/>
      <c r="X173" s="7" t="str">
        <f t="shared" si="10"/>
        <v/>
      </c>
    </row>
    <row r="174" spans="1:24">
      <c r="A174" s="7">
        <v>173</v>
      </c>
      <c r="B174" s="10"/>
      <c r="C174" s="10"/>
      <c r="D174" s="10"/>
      <c r="E174" s="10"/>
      <c r="F174" s="10"/>
      <c r="G174" s="11"/>
      <c r="H174" s="11"/>
      <c r="I174" s="11"/>
      <c r="J174" s="12" t="str">
        <f>IF(B174="","",MAX(I174,_xlfn.MAXIFS(التمديدات!$C$2:$C$301,التمديدات!$A$2:$A$301,B174)))</f>
        <v/>
      </c>
      <c r="K174" s="7" t="str">
        <f t="shared" si="8"/>
        <v/>
      </c>
      <c r="L174" s="26"/>
      <c r="M174" s="27"/>
      <c r="N174" s="10"/>
      <c r="O174" s="10"/>
      <c r="P174" s="10"/>
      <c r="Q174" s="10"/>
      <c r="R174" s="7" t="str">
        <f ca="1">IF(B174="","",IF(Q174&lt;&gt;"",Q174,IF(H174&gt;TODAY(),"لم يبدأ بعد",IF(J174&lt;TODAY(),"منتهٍ",IF(J174-TODAY()&lt;='القوائم والإعدادات'!$E$2,"قريب الانتهاء","ساري")))))</f>
        <v/>
      </c>
      <c r="S174" s="7" t="str">
        <f t="shared" ca="1" si="9"/>
        <v/>
      </c>
      <c r="T174" s="7" t="str">
        <f ca="1">IF(OR(R174="ساري",R174="قريب الانتهاء"),IF(S174&lt;='القوائم والإعدادات'!$E$4,"عاجل",IF(S174&lt;='القوائم والإعدادات'!$E$3,"خلال 60 يوم",IF(S174&lt;='القوائم والإعدادات'!$E$2,"خلال 90 يوم",""))),"")</f>
        <v/>
      </c>
      <c r="U174" s="7" t="str">
        <f>IF(B174="","",COUNTIF(التمديدات!$A$2:$A$301,B174))</f>
        <v/>
      </c>
      <c r="V174" s="10"/>
      <c r="W174" s="10"/>
      <c r="X174" s="7" t="str">
        <f t="shared" si="10"/>
        <v/>
      </c>
    </row>
    <row r="175" spans="1:24">
      <c r="A175" s="7">
        <v>174</v>
      </c>
      <c r="B175" s="10"/>
      <c r="C175" s="10"/>
      <c r="D175" s="10"/>
      <c r="E175" s="10"/>
      <c r="F175" s="10"/>
      <c r="G175" s="11"/>
      <c r="H175" s="11"/>
      <c r="I175" s="11"/>
      <c r="J175" s="12" t="str">
        <f>IF(B175="","",MAX(I175,_xlfn.MAXIFS(التمديدات!$C$2:$C$301,التمديدات!$A$2:$A$301,B175)))</f>
        <v/>
      </c>
      <c r="K175" s="7" t="str">
        <f t="shared" si="8"/>
        <v/>
      </c>
      <c r="L175" s="26"/>
      <c r="M175" s="27"/>
      <c r="N175" s="10"/>
      <c r="O175" s="10"/>
      <c r="P175" s="10"/>
      <c r="Q175" s="10"/>
      <c r="R175" s="7" t="str">
        <f ca="1">IF(B175="","",IF(Q175&lt;&gt;"",Q175,IF(H175&gt;TODAY(),"لم يبدأ بعد",IF(J175&lt;TODAY(),"منتهٍ",IF(J175-TODAY()&lt;='القوائم والإعدادات'!$E$2,"قريب الانتهاء","ساري")))))</f>
        <v/>
      </c>
      <c r="S175" s="7" t="str">
        <f t="shared" ca="1" si="9"/>
        <v/>
      </c>
      <c r="T175" s="7" t="str">
        <f ca="1">IF(OR(R175="ساري",R175="قريب الانتهاء"),IF(S175&lt;='القوائم والإعدادات'!$E$4,"عاجل",IF(S175&lt;='القوائم والإعدادات'!$E$3,"خلال 60 يوم",IF(S175&lt;='القوائم والإعدادات'!$E$2,"خلال 90 يوم",""))),"")</f>
        <v/>
      </c>
      <c r="U175" s="7" t="str">
        <f>IF(B175="","",COUNTIF(التمديدات!$A$2:$A$301,B175))</f>
        <v/>
      </c>
      <c r="V175" s="10"/>
      <c r="W175" s="10"/>
      <c r="X175" s="7" t="str">
        <f t="shared" si="10"/>
        <v/>
      </c>
    </row>
    <row r="176" spans="1:24">
      <c r="A176" s="7">
        <v>175</v>
      </c>
      <c r="B176" s="10"/>
      <c r="C176" s="10"/>
      <c r="D176" s="10"/>
      <c r="E176" s="10"/>
      <c r="F176" s="10"/>
      <c r="G176" s="11"/>
      <c r="H176" s="11"/>
      <c r="I176" s="11"/>
      <c r="J176" s="12" t="str">
        <f>IF(B176="","",MAX(I176,_xlfn.MAXIFS(التمديدات!$C$2:$C$301,التمديدات!$A$2:$A$301,B176)))</f>
        <v/>
      </c>
      <c r="K176" s="7" t="str">
        <f t="shared" si="8"/>
        <v/>
      </c>
      <c r="L176" s="26"/>
      <c r="M176" s="27"/>
      <c r="N176" s="10"/>
      <c r="O176" s="10"/>
      <c r="P176" s="10"/>
      <c r="Q176" s="10"/>
      <c r="R176" s="7" t="str">
        <f ca="1">IF(B176="","",IF(Q176&lt;&gt;"",Q176,IF(H176&gt;TODAY(),"لم يبدأ بعد",IF(J176&lt;TODAY(),"منتهٍ",IF(J176-TODAY()&lt;='القوائم والإعدادات'!$E$2,"قريب الانتهاء","ساري")))))</f>
        <v/>
      </c>
      <c r="S176" s="7" t="str">
        <f t="shared" ca="1" si="9"/>
        <v/>
      </c>
      <c r="T176" s="7" t="str">
        <f ca="1">IF(OR(R176="ساري",R176="قريب الانتهاء"),IF(S176&lt;='القوائم والإعدادات'!$E$4,"عاجل",IF(S176&lt;='القوائم والإعدادات'!$E$3,"خلال 60 يوم",IF(S176&lt;='القوائم والإعدادات'!$E$2,"خلال 90 يوم",""))),"")</f>
        <v/>
      </c>
      <c r="U176" s="7" t="str">
        <f>IF(B176="","",COUNTIF(التمديدات!$A$2:$A$301,B176))</f>
        <v/>
      </c>
      <c r="V176" s="10"/>
      <c r="W176" s="10"/>
      <c r="X176" s="7" t="str">
        <f t="shared" si="10"/>
        <v/>
      </c>
    </row>
    <row r="177" spans="1:24">
      <c r="A177" s="7">
        <v>176</v>
      </c>
      <c r="B177" s="10"/>
      <c r="C177" s="10"/>
      <c r="D177" s="10"/>
      <c r="E177" s="10"/>
      <c r="F177" s="10"/>
      <c r="G177" s="11"/>
      <c r="H177" s="11"/>
      <c r="I177" s="11"/>
      <c r="J177" s="12" t="str">
        <f>IF(B177="","",MAX(I177,_xlfn.MAXIFS(التمديدات!$C$2:$C$301,التمديدات!$A$2:$A$301,B177)))</f>
        <v/>
      </c>
      <c r="K177" s="7" t="str">
        <f t="shared" si="8"/>
        <v/>
      </c>
      <c r="L177" s="26"/>
      <c r="M177" s="27"/>
      <c r="N177" s="10"/>
      <c r="O177" s="10"/>
      <c r="P177" s="10"/>
      <c r="Q177" s="10"/>
      <c r="R177" s="7" t="str">
        <f ca="1">IF(B177="","",IF(Q177&lt;&gt;"",Q177,IF(H177&gt;TODAY(),"لم يبدأ بعد",IF(J177&lt;TODAY(),"منتهٍ",IF(J177-TODAY()&lt;='القوائم والإعدادات'!$E$2,"قريب الانتهاء","ساري")))))</f>
        <v/>
      </c>
      <c r="S177" s="7" t="str">
        <f t="shared" ca="1" si="9"/>
        <v/>
      </c>
      <c r="T177" s="7" t="str">
        <f ca="1">IF(OR(R177="ساري",R177="قريب الانتهاء"),IF(S177&lt;='القوائم والإعدادات'!$E$4,"عاجل",IF(S177&lt;='القوائم والإعدادات'!$E$3,"خلال 60 يوم",IF(S177&lt;='القوائم والإعدادات'!$E$2,"خلال 90 يوم",""))),"")</f>
        <v/>
      </c>
      <c r="U177" s="7" t="str">
        <f>IF(B177="","",COUNTIF(التمديدات!$A$2:$A$301,B177))</f>
        <v/>
      </c>
      <c r="V177" s="10"/>
      <c r="W177" s="10"/>
      <c r="X177" s="7" t="str">
        <f t="shared" si="10"/>
        <v/>
      </c>
    </row>
    <row r="178" spans="1:24">
      <c r="A178" s="7">
        <v>177</v>
      </c>
      <c r="B178" s="10"/>
      <c r="C178" s="10"/>
      <c r="D178" s="10"/>
      <c r="E178" s="10"/>
      <c r="F178" s="10"/>
      <c r="G178" s="11"/>
      <c r="H178" s="11"/>
      <c r="I178" s="11"/>
      <c r="J178" s="12" t="str">
        <f>IF(B178="","",MAX(I178,_xlfn.MAXIFS(التمديدات!$C$2:$C$301,التمديدات!$A$2:$A$301,B178)))</f>
        <v/>
      </c>
      <c r="K178" s="7" t="str">
        <f t="shared" si="8"/>
        <v/>
      </c>
      <c r="L178" s="26"/>
      <c r="M178" s="27"/>
      <c r="N178" s="10"/>
      <c r="O178" s="10"/>
      <c r="P178" s="10"/>
      <c r="Q178" s="10"/>
      <c r="R178" s="7" t="str">
        <f ca="1">IF(B178="","",IF(Q178&lt;&gt;"",Q178,IF(H178&gt;TODAY(),"لم يبدأ بعد",IF(J178&lt;TODAY(),"منتهٍ",IF(J178-TODAY()&lt;='القوائم والإعدادات'!$E$2,"قريب الانتهاء","ساري")))))</f>
        <v/>
      </c>
      <c r="S178" s="7" t="str">
        <f t="shared" ca="1" si="9"/>
        <v/>
      </c>
      <c r="T178" s="7" t="str">
        <f ca="1">IF(OR(R178="ساري",R178="قريب الانتهاء"),IF(S178&lt;='القوائم والإعدادات'!$E$4,"عاجل",IF(S178&lt;='القوائم والإعدادات'!$E$3,"خلال 60 يوم",IF(S178&lt;='القوائم والإعدادات'!$E$2,"خلال 90 يوم",""))),"")</f>
        <v/>
      </c>
      <c r="U178" s="7" t="str">
        <f>IF(B178="","",COUNTIF(التمديدات!$A$2:$A$301,B178))</f>
        <v/>
      </c>
      <c r="V178" s="10"/>
      <c r="W178" s="10"/>
      <c r="X178" s="7" t="str">
        <f t="shared" si="10"/>
        <v/>
      </c>
    </row>
    <row r="179" spans="1:24">
      <c r="A179" s="7">
        <v>178</v>
      </c>
      <c r="B179" s="10"/>
      <c r="C179" s="10"/>
      <c r="D179" s="10"/>
      <c r="E179" s="10"/>
      <c r="F179" s="10"/>
      <c r="G179" s="11"/>
      <c r="H179" s="11"/>
      <c r="I179" s="11"/>
      <c r="J179" s="12" t="str">
        <f>IF(B179="","",MAX(I179,_xlfn.MAXIFS(التمديدات!$C$2:$C$301,التمديدات!$A$2:$A$301,B179)))</f>
        <v/>
      </c>
      <c r="K179" s="7" t="str">
        <f t="shared" si="8"/>
        <v/>
      </c>
      <c r="L179" s="26"/>
      <c r="M179" s="27"/>
      <c r="N179" s="10"/>
      <c r="O179" s="10"/>
      <c r="P179" s="10"/>
      <c r="Q179" s="10"/>
      <c r="R179" s="7" t="str">
        <f ca="1">IF(B179="","",IF(Q179&lt;&gt;"",Q179,IF(H179&gt;TODAY(),"لم يبدأ بعد",IF(J179&lt;TODAY(),"منتهٍ",IF(J179-TODAY()&lt;='القوائم والإعدادات'!$E$2,"قريب الانتهاء","ساري")))))</f>
        <v/>
      </c>
      <c r="S179" s="7" t="str">
        <f t="shared" ca="1" si="9"/>
        <v/>
      </c>
      <c r="T179" s="7" t="str">
        <f ca="1">IF(OR(R179="ساري",R179="قريب الانتهاء"),IF(S179&lt;='القوائم والإعدادات'!$E$4,"عاجل",IF(S179&lt;='القوائم والإعدادات'!$E$3,"خلال 60 يوم",IF(S179&lt;='القوائم والإعدادات'!$E$2,"خلال 90 يوم",""))),"")</f>
        <v/>
      </c>
      <c r="U179" s="7" t="str">
        <f>IF(B179="","",COUNTIF(التمديدات!$A$2:$A$301,B179))</f>
        <v/>
      </c>
      <c r="V179" s="10"/>
      <c r="W179" s="10"/>
      <c r="X179" s="7" t="str">
        <f t="shared" si="10"/>
        <v/>
      </c>
    </row>
    <row r="180" spans="1:24">
      <c r="A180" s="7">
        <v>179</v>
      </c>
      <c r="B180" s="10"/>
      <c r="C180" s="10"/>
      <c r="D180" s="10"/>
      <c r="E180" s="10"/>
      <c r="F180" s="10"/>
      <c r="G180" s="11"/>
      <c r="H180" s="11"/>
      <c r="I180" s="11"/>
      <c r="J180" s="12" t="str">
        <f>IF(B180="","",MAX(I180,_xlfn.MAXIFS(التمديدات!$C$2:$C$301,التمديدات!$A$2:$A$301,B180)))</f>
        <v/>
      </c>
      <c r="K180" s="7" t="str">
        <f t="shared" si="8"/>
        <v/>
      </c>
      <c r="L180" s="26"/>
      <c r="M180" s="27"/>
      <c r="N180" s="10"/>
      <c r="O180" s="10"/>
      <c r="P180" s="10"/>
      <c r="Q180" s="10"/>
      <c r="R180" s="7" t="str">
        <f ca="1">IF(B180="","",IF(Q180&lt;&gt;"",Q180,IF(H180&gt;TODAY(),"لم يبدأ بعد",IF(J180&lt;TODAY(),"منتهٍ",IF(J180-TODAY()&lt;='القوائم والإعدادات'!$E$2,"قريب الانتهاء","ساري")))))</f>
        <v/>
      </c>
      <c r="S180" s="7" t="str">
        <f t="shared" ca="1" si="9"/>
        <v/>
      </c>
      <c r="T180" s="7" t="str">
        <f ca="1">IF(OR(R180="ساري",R180="قريب الانتهاء"),IF(S180&lt;='القوائم والإعدادات'!$E$4,"عاجل",IF(S180&lt;='القوائم والإعدادات'!$E$3,"خلال 60 يوم",IF(S180&lt;='القوائم والإعدادات'!$E$2,"خلال 90 يوم",""))),"")</f>
        <v/>
      </c>
      <c r="U180" s="7" t="str">
        <f>IF(B180="","",COUNTIF(التمديدات!$A$2:$A$301,B180))</f>
        <v/>
      </c>
      <c r="V180" s="10"/>
      <c r="W180" s="10"/>
      <c r="X180" s="7" t="str">
        <f t="shared" si="10"/>
        <v/>
      </c>
    </row>
    <row r="181" spans="1:24">
      <c r="A181" s="7">
        <v>180</v>
      </c>
      <c r="B181" s="10"/>
      <c r="C181" s="10"/>
      <c r="D181" s="10"/>
      <c r="E181" s="10"/>
      <c r="F181" s="10"/>
      <c r="G181" s="11"/>
      <c r="H181" s="11"/>
      <c r="I181" s="11"/>
      <c r="J181" s="12" t="str">
        <f>IF(B181="","",MAX(I181,_xlfn.MAXIFS(التمديدات!$C$2:$C$301,التمديدات!$A$2:$A$301,B181)))</f>
        <v/>
      </c>
      <c r="K181" s="7" t="str">
        <f t="shared" si="8"/>
        <v/>
      </c>
      <c r="L181" s="26"/>
      <c r="M181" s="27"/>
      <c r="N181" s="10"/>
      <c r="O181" s="10"/>
      <c r="P181" s="10"/>
      <c r="Q181" s="10"/>
      <c r="R181" s="7" t="str">
        <f ca="1">IF(B181="","",IF(Q181&lt;&gt;"",Q181,IF(H181&gt;TODAY(),"لم يبدأ بعد",IF(J181&lt;TODAY(),"منتهٍ",IF(J181-TODAY()&lt;='القوائم والإعدادات'!$E$2,"قريب الانتهاء","ساري")))))</f>
        <v/>
      </c>
      <c r="S181" s="7" t="str">
        <f t="shared" ca="1" si="9"/>
        <v/>
      </c>
      <c r="T181" s="7" t="str">
        <f ca="1">IF(OR(R181="ساري",R181="قريب الانتهاء"),IF(S181&lt;='القوائم والإعدادات'!$E$4,"عاجل",IF(S181&lt;='القوائم والإعدادات'!$E$3,"خلال 60 يوم",IF(S181&lt;='القوائم والإعدادات'!$E$2,"خلال 90 يوم",""))),"")</f>
        <v/>
      </c>
      <c r="U181" s="7" t="str">
        <f>IF(B181="","",COUNTIF(التمديدات!$A$2:$A$301,B181))</f>
        <v/>
      </c>
      <c r="V181" s="10"/>
      <c r="W181" s="10"/>
      <c r="X181" s="7" t="str">
        <f t="shared" si="10"/>
        <v/>
      </c>
    </row>
    <row r="182" spans="1:24">
      <c r="A182" s="7">
        <v>181</v>
      </c>
      <c r="B182" s="10"/>
      <c r="C182" s="10"/>
      <c r="D182" s="10"/>
      <c r="E182" s="10"/>
      <c r="F182" s="10"/>
      <c r="G182" s="11"/>
      <c r="H182" s="11"/>
      <c r="I182" s="11"/>
      <c r="J182" s="12" t="str">
        <f>IF(B182="","",MAX(I182,_xlfn.MAXIFS(التمديدات!$C$2:$C$301,التمديدات!$A$2:$A$301,B182)))</f>
        <v/>
      </c>
      <c r="K182" s="7" t="str">
        <f t="shared" si="8"/>
        <v/>
      </c>
      <c r="L182" s="26"/>
      <c r="M182" s="27"/>
      <c r="N182" s="10"/>
      <c r="O182" s="10"/>
      <c r="P182" s="10"/>
      <c r="Q182" s="10"/>
      <c r="R182" s="7" t="str">
        <f ca="1">IF(B182="","",IF(Q182&lt;&gt;"",Q182,IF(H182&gt;TODAY(),"لم يبدأ بعد",IF(J182&lt;TODAY(),"منتهٍ",IF(J182-TODAY()&lt;='القوائم والإعدادات'!$E$2,"قريب الانتهاء","ساري")))))</f>
        <v/>
      </c>
      <c r="S182" s="7" t="str">
        <f t="shared" ca="1" si="9"/>
        <v/>
      </c>
      <c r="T182" s="7" t="str">
        <f ca="1">IF(OR(R182="ساري",R182="قريب الانتهاء"),IF(S182&lt;='القوائم والإعدادات'!$E$4,"عاجل",IF(S182&lt;='القوائم والإعدادات'!$E$3,"خلال 60 يوم",IF(S182&lt;='القوائم والإعدادات'!$E$2,"خلال 90 يوم",""))),"")</f>
        <v/>
      </c>
      <c r="U182" s="7" t="str">
        <f>IF(B182="","",COUNTIF(التمديدات!$A$2:$A$301,B182))</f>
        <v/>
      </c>
      <c r="V182" s="10"/>
      <c r="W182" s="10"/>
      <c r="X182" s="7" t="str">
        <f t="shared" si="10"/>
        <v/>
      </c>
    </row>
    <row r="183" spans="1:24">
      <c r="A183" s="7">
        <v>182</v>
      </c>
      <c r="B183" s="10"/>
      <c r="C183" s="10"/>
      <c r="D183" s="10"/>
      <c r="E183" s="10"/>
      <c r="F183" s="10"/>
      <c r="G183" s="11"/>
      <c r="H183" s="11"/>
      <c r="I183" s="11"/>
      <c r="J183" s="12" t="str">
        <f>IF(B183="","",MAX(I183,_xlfn.MAXIFS(التمديدات!$C$2:$C$301,التمديدات!$A$2:$A$301,B183)))</f>
        <v/>
      </c>
      <c r="K183" s="7" t="str">
        <f t="shared" si="8"/>
        <v/>
      </c>
      <c r="L183" s="26"/>
      <c r="M183" s="27"/>
      <c r="N183" s="10"/>
      <c r="O183" s="10"/>
      <c r="P183" s="10"/>
      <c r="Q183" s="10"/>
      <c r="R183" s="7" t="str">
        <f ca="1">IF(B183="","",IF(Q183&lt;&gt;"",Q183,IF(H183&gt;TODAY(),"لم يبدأ بعد",IF(J183&lt;TODAY(),"منتهٍ",IF(J183-TODAY()&lt;='القوائم والإعدادات'!$E$2,"قريب الانتهاء","ساري")))))</f>
        <v/>
      </c>
      <c r="S183" s="7" t="str">
        <f t="shared" ca="1" si="9"/>
        <v/>
      </c>
      <c r="T183" s="7" t="str">
        <f ca="1">IF(OR(R183="ساري",R183="قريب الانتهاء"),IF(S183&lt;='القوائم والإعدادات'!$E$4,"عاجل",IF(S183&lt;='القوائم والإعدادات'!$E$3,"خلال 60 يوم",IF(S183&lt;='القوائم والإعدادات'!$E$2,"خلال 90 يوم",""))),"")</f>
        <v/>
      </c>
      <c r="U183" s="7" t="str">
        <f>IF(B183="","",COUNTIF(التمديدات!$A$2:$A$301,B183))</f>
        <v/>
      </c>
      <c r="V183" s="10"/>
      <c r="W183" s="10"/>
      <c r="X183" s="7" t="str">
        <f t="shared" si="10"/>
        <v/>
      </c>
    </row>
    <row r="184" spans="1:24">
      <c r="A184" s="7">
        <v>183</v>
      </c>
      <c r="B184" s="10"/>
      <c r="C184" s="10"/>
      <c r="D184" s="10"/>
      <c r="E184" s="10"/>
      <c r="F184" s="10"/>
      <c r="G184" s="11"/>
      <c r="H184" s="11"/>
      <c r="I184" s="11"/>
      <c r="J184" s="12" t="str">
        <f>IF(B184="","",MAX(I184,_xlfn.MAXIFS(التمديدات!$C$2:$C$301,التمديدات!$A$2:$A$301,B184)))</f>
        <v/>
      </c>
      <c r="K184" s="7" t="str">
        <f t="shared" si="8"/>
        <v/>
      </c>
      <c r="L184" s="26"/>
      <c r="M184" s="27"/>
      <c r="N184" s="10"/>
      <c r="O184" s="10"/>
      <c r="P184" s="10"/>
      <c r="Q184" s="10"/>
      <c r="R184" s="7" t="str">
        <f ca="1">IF(B184="","",IF(Q184&lt;&gt;"",Q184,IF(H184&gt;TODAY(),"لم يبدأ بعد",IF(J184&lt;TODAY(),"منتهٍ",IF(J184-TODAY()&lt;='القوائم والإعدادات'!$E$2,"قريب الانتهاء","ساري")))))</f>
        <v/>
      </c>
      <c r="S184" s="7" t="str">
        <f t="shared" ca="1" si="9"/>
        <v/>
      </c>
      <c r="T184" s="7" t="str">
        <f ca="1">IF(OR(R184="ساري",R184="قريب الانتهاء"),IF(S184&lt;='القوائم والإعدادات'!$E$4,"عاجل",IF(S184&lt;='القوائم والإعدادات'!$E$3,"خلال 60 يوم",IF(S184&lt;='القوائم والإعدادات'!$E$2,"خلال 90 يوم",""))),"")</f>
        <v/>
      </c>
      <c r="U184" s="7" t="str">
        <f>IF(B184="","",COUNTIF(التمديدات!$A$2:$A$301,B184))</f>
        <v/>
      </c>
      <c r="V184" s="10"/>
      <c r="W184" s="10"/>
      <c r="X184" s="7" t="str">
        <f t="shared" si="10"/>
        <v/>
      </c>
    </row>
    <row r="185" spans="1:24">
      <c r="A185" s="7">
        <v>184</v>
      </c>
      <c r="B185" s="10"/>
      <c r="C185" s="10"/>
      <c r="D185" s="10"/>
      <c r="E185" s="10"/>
      <c r="F185" s="10"/>
      <c r="G185" s="11"/>
      <c r="H185" s="11"/>
      <c r="I185" s="11"/>
      <c r="J185" s="12" t="str">
        <f>IF(B185="","",MAX(I185,_xlfn.MAXIFS(التمديدات!$C$2:$C$301,التمديدات!$A$2:$A$301,B185)))</f>
        <v/>
      </c>
      <c r="K185" s="7" t="str">
        <f t="shared" si="8"/>
        <v/>
      </c>
      <c r="L185" s="26"/>
      <c r="M185" s="27"/>
      <c r="N185" s="10"/>
      <c r="O185" s="10"/>
      <c r="P185" s="10"/>
      <c r="Q185" s="10"/>
      <c r="R185" s="7" t="str">
        <f ca="1">IF(B185="","",IF(Q185&lt;&gt;"",Q185,IF(H185&gt;TODAY(),"لم يبدأ بعد",IF(J185&lt;TODAY(),"منتهٍ",IF(J185-TODAY()&lt;='القوائم والإعدادات'!$E$2,"قريب الانتهاء","ساري")))))</f>
        <v/>
      </c>
      <c r="S185" s="7" t="str">
        <f t="shared" ca="1" si="9"/>
        <v/>
      </c>
      <c r="T185" s="7" t="str">
        <f ca="1">IF(OR(R185="ساري",R185="قريب الانتهاء"),IF(S185&lt;='القوائم والإعدادات'!$E$4,"عاجل",IF(S185&lt;='القوائم والإعدادات'!$E$3,"خلال 60 يوم",IF(S185&lt;='القوائم والإعدادات'!$E$2,"خلال 90 يوم",""))),"")</f>
        <v/>
      </c>
      <c r="U185" s="7" t="str">
        <f>IF(B185="","",COUNTIF(التمديدات!$A$2:$A$301,B185))</f>
        <v/>
      </c>
      <c r="V185" s="10"/>
      <c r="W185" s="10"/>
      <c r="X185" s="7" t="str">
        <f t="shared" si="10"/>
        <v/>
      </c>
    </row>
    <row r="186" spans="1:24">
      <c r="A186" s="7">
        <v>185</v>
      </c>
      <c r="B186" s="10"/>
      <c r="C186" s="10"/>
      <c r="D186" s="10"/>
      <c r="E186" s="10"/>
      <c r="F186" s="10"/>
      <c r="G186" s="11"/>
      <c r="H186" s="11"/>
      <c r="I186" s="11"/>
      <c r="J186" s="12" t="str">
        <f>IF(B186="","",MAX(I186,_xlfn.MAXIFS(التمديدات!$C$2:$C$301,التمديدات!$A$2:$A$301,B186)))</f>
        <v/>
      </c>
      <c r="K186" s="7" t="str">
        <f t="shared" si="8"/>
        <v/>
      </c>
      <c r="L186" s="26"/>
      <c r="M186" s="27"/>
      <c r="N186" s="10"/>
      <c r="O186" s="10"/>
      <c r="P186" s="10"/>
      <c r="Q186" s="10"/>
      <c r="R186" s="7" t="str">
        <f ca="1">IF(B186="","",IF(Q186&lt;&gt;"",Q186,IF(H186&gt;TODAY(),"لم يبدأ بعد",IF(J186&lt;TODAY(),"منتهٍ",IF(J186-TODAY()&lt;='القوائم والإعدادات'!$E$2,"قريب الانتهاء","ساري")))))</f>
        <v/>
      </c>
      <c r="S186" s="7" t="str">
        <f t="shared" ca="1" si="9"/>
        <v/>
      </c>
      <c r="T186" s="7" t="str">
        <f ca="1">IF(OR(R186="ساري",R186="قريب الانتهاء"),IF(S186&lt;='القوائم والإعدادات'!$E$4,"عاجل",IF(S186&lt;='القوائم والإعدادات'!$E$3,"خلال 60 يوم",IF(S186&lt;='القوائم والإعدادات'!$E$2,"خلال 90 يوم",""))),"")</f>
        <v/>
      </c>
      <c r="U186" s="7" t="str">
        <f>IF(B186="","",COUNTIF(التمديدات!$A$2:$A$301,B186))</f>
        <v/>
      </c>
      <c r="V186" s="10"/>
      <c r="W186" s="10"/>
      <c r="X186" s="7" t="str">
        <f t="shared" si="10"/>
        <v/>
      </c>
    </row>
    <row r="187" spans="1:24">
      <c r="A187" s="7">
        <v>186</v>
      </c>
      <c r="B187" s="10"/>
      <c r="C187" s="10"/>
      <c r="D187" s="10"/>
      <c r="E187" s="10"/>
      <c r="F187" s="10"/>
      <c r="G187" s="11"/>
      <c r="H187" s="11"/>
      <c r="I187" s="11"/>
      <c r="J187" s="12" t="str">
        <f>IF(B187="","",MAX(I187,_xlfn.MAXIFS(التمديدات!$C$2:$C$301,التمديدات!$A$2:$A$301,B187)))</f>
        <v/>
      </c>
      <c r="K187" s="7" t="str">
        <f t="shared" si="8"/>
        <v/>
      </c>
      <c r="L187" s="26"/>
      <c r="M187" s="27"/>
      <c r="N187" s="10"/>
      <c r="O187" s="10"/>
      <c r="P187" s="10"/>
      <c r="Q187" s="10"/>
      <c r="R187" s="7" t="str">
        <f ca="1">IF(B187="","",IF(Q187&lt;&gt;"",Q187,IF(H187&gt;TODAY(),"لم يبدأ بعد",IF(J187&lt;TODAY(),"منتهٍ",IF(J187-TODAY()&lt;='القوائم والإعدادات'!$E$2,"قريب الانتهاء","ساري")))))</f>
        <v/>
      </c>
      <c r="S187" s="7" t="str">
        <f t="shared" ca="1" si="9"/>
        <v/>
      </c>
      <c r="T187" s="7" t="str">
        <f ca="1">IF(OR(R187="ساري",R187="قريب الانتهاء"),IF(S187&lt;='القوائم والإعدادات'!$E$4,"عاجل",IF(S187&lt;='القوائم والإعدادات'!$E$3,"خلال 60 يوم",IF(S187&lt;='القوائم والإعدادات'!$E$2,"خلال 90 يوم",""))),"")</f>
        <v/>
      </c>
      <c r="U187" s="7" t="str">
        <f>IF(B187="","",COUNTIF(التمديدات!$A$2:$A$301,B187))</f>
        <v/>
      </c>
      <c r="V187" s="10"/>
      <c r="W187" s="10"/>
      <c r="X187" s="7" t="str">
        <f t="shared" si="10"/>
        <v/>
      </c>
    </row>
    <row r="188" spans="1:24">
      <c r="A188" s="7">
        <v>187</v>
      </c>
      <c r="B188" s="10"/>
      <c r="C188" s="10"/>
      <c r="D188" s="10"/>
      <c r="E188" s="10"/>
      <c r="F188" s="10"/>
      <c r="G188" s="11"/>
      <c r="H188" s="11"/>
      <c r="I188" s="11"/>
      <c r="J188" s="12" t="str">
        <f>IF(B188="","",MAX(I188,_xlfn.MAXIFS(التمديدات!$C$2:$C$301,التمديدات!$A$2:$A$301,B188)))</f>
        <v/>
      </c>
      <c r="K188" s="7" t="str">
        <f t="shared" si="8"/>
        <v/>
      </c>
      <c r="L188" s="26"/>
      <c r="M188" s="27"/>
      <c r="N188" s="10"/>
      <c r="O188" s="10"/>
      <c r="P188" s="10"/>
      <c r="Q188" s="10"/>
      <c r="R188" s="7" t="str">
        <f ca="1">IF(B188="","",IF(Q188&lt;&gt;"",Q188,IF(H188&gt;TODAY(),"لم يبدأ بعد",IF(J188&lt;TODAY(),"منتهٍ",IF(J188-TODAY()&lt;='القوائم والإعدادات'!$E$2,"قريب الانتهاء","ساري")))))</f>
        <v/>
      </c>
      <c r="S188" s="7" t="str">
        <f t="shared" ca="1" si="9"/>
        <v/>
      </c>
      <c r="T188" s="7" t="str">
        <f ca="1">IF(OR(R188="ساري",R188="قريب الانتهاء"),IF(S188&lt;='القوائم والإعدادات'!$E$4,"عاجل",IF(S188&lt;='القوائم والإعدادات'!$E$3,"خلال 60 يوم",IF(S188&lt;='القوائم والإعدادات'!$E$2,"خلال 90 يوم",""))),"")</f>
        <v/>
      </c>
      <c r="U188" s="7" t="str">
        <f>IF(B188="","",COUNTIF(التمديدات!$A$2:$A$301,B188))</f>
        <v/>
      </c>
      <c r="V188" s="10"/>
      <c r="W188" s="10"/>
      <c r="X188" s="7" t="str">
        <f t="shared" si="10"/>
        <v/>
      </c>
    </row>
    <row r="189" spans="1:24">
      <c r="A189" s="7">
        <v>188</v>
      </c>
      <c r="B189" s="10"/>
      <c r="C189" s="10"/>
      <c r="D189" s="10"/>
      <c r="E189" s="10"/>
      <c r="F189" s="10"/>
      <c r="G189" s="11"/>
      <c r="H189" s="11"/>
      <c r="I189" s="11"/>
      <c r="J189" s="12" t="str">
        <f>IF(B189="","",MAX(I189,_xlfn.MAXIFS(التمديدات!$C$2:$C$301,التمديدات!$A$2:$A$301,B189)))</f>
        <v/>
      </c>
      <c r="K189" s="7" t="str">
        <f t="shared" si="8"/>
        <v/>
      </c>
      <c r="L189" s="26"/>
      <c r="M189" s="27"/>
      <c r="N189" s="10"/>
      <c r="O189" s="10"/>
      <c r="P189" s="10"/>
      <c r="Q189" s="10"/>
      <c r="R189" s="7" t="str">
        <f ca="1">IF(B189="","",IF(Q189&lt;&gt;"",Q189,IF(H189&gt;TODAY(),"لم يبدأ بعد",IF(J189&lt;TODAY(),"منتهٍ",IF(J189-TODAY()&lt;='القوائم والإعدادات'!$E$2,"قريب الانتهاء","ساري")))))</f>
        <v/>
      </c>
      <c r="S189" s="7" t="str">
        <f t="shared" ca="1" si="9"/>
        <v/>
      </c>
      <c r="T189" s="7" t="str">
        <f ca="1">IF(OR(R189="ساري",R189="قريب الانتهاء"),IF(S189&lt;='القوائم والإعدادات'!$E$4,"عاجل",IF(S189&lt;='القوائم والإعدادات'!$E$3,"خلال 60 يوم",IF(S189&lt;='القوائم والإعدادات'!$E$2,"خلال 90 يوم",""))),"")</f>
        <v/>
      </c>
      <c r="U189" s="7" t="str">
        <f>IF(B189="","",COUNTIF(التمديدات!$A$2:$A$301,B189))</f>
        <v/>
      </c>
      <c r="V189" s="10"/>
      <c r="W189" s="10"/>
      <c r="X189" s="7" t="str">
        <f t="shared" si="10"/>
        <v/>
      </c>
    </row>
    <row r="190" spans="1:24">
      <c r="A190" s="7">
        <v>189</v>
      </c>
      <c r="B190" s="10"/>
      <c r="C190" s="10"/>
      <c r="D190" s="10"/>
      <c r="E190" s="10"/>
      <c r="F190" s="10"/>
      <c r="G190" s="11"/>
      <c r="H190" s="11"/>
      <c r="I190" s="11"/>
      <c r="J190" s="12" t="str">
        <f>IF(B190="","",MAX(I190,_xlfn.MAXIFS(التمديدات!$C$2:$C$301,التمديدات!$A$2:$A$301,B190)))</f>
        <v/>
      </c>
      <c r="K190" s="7" t="str">
        <f t="shared" si="8"/>
        <v/>
      </c>
      <c r="L190" s="26"/>
      <c r="M190" s="27"/>
      <c r="N190" s="10"/>
      <c r="O190" s="10"/>
      <c r="P190" s="10"/>
      <c r="Q190" s="10"/>
      <c r="R190" s="7" t="str">
        <f ca="1">IF(B190="","",IF(Q190&lt;&gt;"",Q190,IF(H190&gt;TODAY(),"لم يبدأ بعد",IF(J190&lt;TODAY(),"منتهٍ",IF(J190-TODAY()&lt;='القوائم والإعدادات'!$E$2,"قريب الانتهاء","ساري")))))</f>
        <v/>
      </c>
      <c r="S190" s="7" t="str">
        <f t="shared" ca="1" si="9"/>
        <v/>
      </c>
      <c r="T190" s="7" t="str">
        <f ca="1">IF(OR(R190="ساري",R190="قريب الانتهاء"),IF(S190&lt;='القوائم والإعدادات'!$E$4,"عاجل",IF(S190&lt;='القوائم والإعدادات'!$E$3,"خلال 60 يوم",IF(S190&lt;='القوائم والإعدادات'!$E$2,"خلال 90 يوم",""))),"")</f>
        <v/>
      </c>
      <c r="U190" s="7" t="str">
        <f>IF(B190="","",COUNTIF(التمديدات!$A$2:$A$301,B190))</f>
        <v/>
      </c>
      <c r="V190" s="10"/>
      <c r="W190" s="10"/>
      <c r="X190" s="7" t="str">
        <f t="shared" si="10"/>
        <v/>
      </c>
    </row>
    <row r="191" spans="1:24">
      <c r="A191" s="7">
        <v>190</v>
      </c>
      <c r="B191" s="10"/>
      <c r="C191" s="10"/>
      <c r="D191" s="10"/>
      <c r="E191" s="10"/>
      <c r="F191" s="10"/>
      <c r="G191" s="11"/>
      <c r="H191" s="11"/>
      <c r="I191" s="11"/>
      <c r="J191" s="12" t="str">
        <f>IF(B191="","",MAX(I191,_xlfn.MAXIFS(التمديدات!$C$2:$C$301,التمديدات!$A$2:$A$301,B191)))</f>
        <v/>
      </c>
      <c r="K191" s="7" t="str">
        <f t="shared" si="8"/>
        <v/>
      </c>
      <c r="L191" s="26"/>
      <c r="M191" s="27"/>
      <c r="N191" s="10"/>
      <c r="O191" s="10"/>
      <c r="P191" s="10"/>
      <c r="Q191" s="10"/>
      <c r="R191" s="7" t="str">
        <f ca="1">IF(B191="","",IF(Q191&lt;&gt;"",Q191,IF(H191&gt;TODAY(),"لم يبدأ بعد",IF(J191&lt;TODAY(),"منتهٍ",IF(J191-TODAY()&lt;='القوائم والإعدادات'!$E$2,"قريب الانتهاء","ساري")))))</f>
        <v/>
      </c>
      <c r="S191" s="7" t="str">
        <f t="shared" ca="1" si="9"/>
        <v/>
      </c>
      <c r="T191" s="7" t="str">
        <f ca="1">IF(OR(R191="ساري",R191="قريب الانتهاء"),IF(S191&lt;='القوائم والإعدادات'!$E$4,"عاجل",IF(S191&lt;='القوائم والإعدادات'!$E$3,"خلال 60 يوم",IF(S191&lt;='القوائم والإعدادات'!$E$2,"خلال 90 يوم",""))),"")</f>
        <v/>
      </c>
      <c r="U191" s="7" t="str">
        <f>IF(B191="","",COUNTIF(التمديدات!$A$2:$A$301,B191))</f>
        <v/>
      </c>
      <c r="V191" s="10"/>
      <c r="W191" s="10"/>
      <c r="X191" s="7" t="str">
        <f t="shared" si="10"/>
        <v/>
      </c>
    </row>
    <row r="192" spans="1:24">
      <c r="A192" s="7">
        <v>191</v>
      </c>
      <c r="B192" s="10"/>
      <c r="C192" s="10"/>
      <c r="D192" s="10"/>
      <c r="E192" s="10"/>
      <c r="F192" s="10"/>
      <c r="G192" s="11"/>
      <c r="H192" s="11"/>
      <c r="I192" s="11"/>
      <c r="J192" s="12" t="str">
        <f>IF(B192="","",MAX(I192,_xlfn.MAXIFS(التمديدات!$C$2:$C$301,التمديدات!$A$2:$A$301,B192)))</f>
        <v/>
      </c>
      <c r="K192" s="7" t="str">
        <f t="shared" si="8"/>
        <v/>
      </c>
      <c r="L192" s="26"/>
      <c r="M192" s="27"/>
      <c r="N192" s="10"/>
      <c r="O192" s="10"/>
      <c r="P192" s="10"/>
      <c r="Q192" s="10"/>
      <c r="R192" s="7" t="str">
        <f ca="1">IF(B192="","",IF(Q192&lt;&gt;"",Q192,IF(H192&gt;TODAY(),"لم يبدأ بعد",IF(J192&lt;TODAY(),"منتهٍ",IF(J192-TODAY()&lt;='القوائم والإعدادات'!$E$2,"قريب الانتهاء","ساري")))))</f>
        <v/>
      </c>
      <c r="S192" s="7" t="str">
        <f t="shared" ca="1" si="9"/>
        <v/>
      </c>
      <c r="T192" s="7" t="str">
        <f ca="1">IF(OR(R192="ساري",R192="قريب الانتهاء"),IF(S192&lt;='القوائم والإعدادات'!$E$4,"عاجل",IF(S192&lt;='القوائم والإعدادات'!$E$3,"خلال 60 يوم",IF(S192&lt;='القوائم والإعدادات'!$E$2,"خلال 90 يوم",""))),"")</f>
        <v/>
      </c>
      <c r="U192" s="7" t="str">
        <f>IF(B192="","",COUNTIF(التمديدات!$A$2:$A$301,B192))</f>
        <v/>
      </c>
      <c r="V192" s="10"/>
      <c r="W192" s="10"/>
      <c r="X192" s="7" t="str">
        <f t="shared" si="10"/>
        <v/>
      </c>
    </row>
    <row r="193" spans="1:24">
      <c r="A193" s="7">
        <v>192</v>
      </c>
      <c r="B193" s="10"/>
      <c r="C193" s="10"/>
      <c r="D193" s="10"/>
      <c r="E193" s="10"/>
      <c r="F193" s="10"/>
      <c r="G193" s="11"/>
      <c r="H193" s="11"/>
      <c r="I193" s="11"/>
      <c r="J193" s="12" t="str">
        <f>IF(B193="","",MAX(I193,_xlfn.MAXIFS(التمديدات!$C$2:$C$301,التمديدات!$A$2:$A$301,B193)))</f>
        <v/>
      </c>
      <c r="K193" s="7" t="str">
        <f t="shared" si="8"/>
        <v/>
      </c>
      <c r="L193" s="26"/>
      <c r="M193" s="27"/>
      <c r="N193" s="10"/>
      <c r="O193" s="10"/>
      <c r="P193" s="10"/>
      <c r="Q193" s="10"/>
      <c r="R193" s="7" t="str">
        <f ca="1">IF(B193="","",IF(Q193&lt;&gt;"",Q193,IF(H193&gt;TODAY(),"لم يبدأ بعد",IF(J193&lt;TODAY(),"منتهٍ",IF(J193-TODAY()&lt;='القوائم والإعدادات'!$E$2,"قريب الانتهاء","ساري")))))</f>
        <v/>
      </c>
      <c r="S193" s="7" t="str">
        <f t="shared" ca="1" si="9"/>
        <v/>
      </c>
      <c r="T193" s="7" t="str">
        <f ca="1">IF(OR(R193="ساري",R193="قريب الانتهاء"),IF(S193&lt;='القوائم والإعدادات'!$E$4,"عاجل",IF(S193&lt;='القوائم والإعدادات'!$E$3,"خلال 60 يوم",IF(S193&lt;='القوائم والإعدادات'!$E$2,"خلال 90 يوم",""))),"")</f>
        <v/>
      </c>
      <c r="U193" s="7" t="str">
        <f>IF(B193="","",COUNTIF(التمديدات!$A$2:$A$301,B193))</f>
        <v/>
      </c>
      <c r="V193" s="10"/>
      <c r="W193" s="10"/>
      <c r="X193" s="7" t="str">
        <f t="shared" si="10"/>
        <v/>
      </c>
    </row>
    <row r="194" spans="1:24">
      <c r="A194" s="7">
        <v>193</v>
      </c>
      <c r="B194" s="10"/>
      <c r="C194" s="10"/>
      <c r="D194" s="10"/>
      <c r="E194" s="10"/>
      <c r="F194" s="10"/>
      <c r="G194" s="11"/>
      <c r="H194" s="11"/>
      <c r="I194" s="11"/>
      <c r="J194" s="12" t="str">
        <f>IF(B194="","",MAX(I194,_xlfn.MAXIFS(التمديدات!$C$2:$C$301,التمديدات!$A$2:$A$301,B194)))</f>
        <v/>
      </c>
      <c r="K194" s="7" t="str">
        <f t="shared" ref="K194:K257" si="11">IF(OR(H194="",I194=""),"",ROUND((I194-H194)/30.4,0))</f>
        <v/>
      </c>
      <c r="L194" s="26"/>
      <c r="M194" s="27"/>
      <c r="N194" s="10"/>
      <c r="O194" s="10"/>
      <c r="P194" s="10"/>
      <c r="Q194" s="10"/>
      <c r="R194" s="7" t="str">
        <f ca="1">IF(B194="","",IF(Q194&lt;&gt;"",Q194,IF(H194&gt;TODAY(),"لم يبدأ بعد",IF(J194&lt;TODAY(),"منتهٍ",IF(J194-TODAY()&lt;='القوائم والإعدادات'!$E$2,"قريب الانتهاء","ساري")))))</f>
        <v/>
      </c>
      <c r="S194" s="7" t="str">
        <f t="shared" ca="1" si="9"/>
        <v/>
      </c>
      <c r="T194" s="7" t="str">
        <f ca="1">IF(OR(R194="ساري",R194="قريب الانتهاء"),IF(S194&lt;='القوائم والإعدادات'!$E$4,"عاجل",IF(S194&lt;='القوائم والإعدادات'!$E$3,"خلال 60 يوم",IF(S194&lt;='القوائم والإعدادات'!$E$2,"خلال 90 يوم",""))),"")</f>
        <v/>
      </c>
      <c r="U194" s="7" t="str">
        <f>IF(B194="","",COUNTIF(التمديدات!$A$2:$A$301,B194))</f>
        <v/>
      </c>
      <c r="V194" s="10"/>
      <c r="W194" s="10"/>
      <c r="X194" s="7" t="str">
        <f t="shared" si="10"/>
        <v/>
      </c>
    </row>
    <row r="195" spans="1:24">
      <c r="A195" s="7">
        <v>194</v>
      </c>
      <c r="B195" s="10"/>
      <c r="C195" s="10"/>
      <c r="D195" s="10"/>
      <c r="E195" s="10"/>
      <c r="F195" s="10"/>
      <c r="G195" s="11"/>
      <c r="H195" s="11"/>
      <c r="I195" s="11"/>
      <c r="J195" s="12" t="str">
        <f>IF(B195="","",MAX(I195,_xlfn.MAXIFS(التمديدات!$C$2:$C$301,التمديدات!$A$2:$A$301,B195)))</f>
        <v/>
      </c>
      <c r="K195" s="7" t="str">
        <f t="shared" si="11"/>
        <v/>
      </c>
      <c r="L195" s="26"/>
      <c r="M195" s="27"/>
      <c r="N195" s="10"/>
      <c r="O195" s="10"/>
      <c r="P195" s="10"/>
      <c r="Q195" s="10"/>
      <c r="R195" s="7" t="str">
        <f ca="1">IF(B195="","",IF(Q195&lt;&gt;"",Q195,IF(H195&gt;TODAY(),"لم يبدأ بعد",IF(J195&lt;TODAY(),"منتهٍ",IF(J195-TODAY()&lt;='القوائم والإعدادات'!$E$2,"قريب الانتهاء","ساري")))))</f>
        <v/>
      </c>
      <c r="S195" s="7" t="str">
        <f t="shared" ca="1" si="9"/>
        <v/>
      </c>
      <c r="T195" s="7" t="str">
        <f ca="1">IF(OR(R195="ساري",R195="قريب الانتهاء"),IF(S195&lt;='القوائم والإعدادات'!$E$4,"عاجل",IF(S195&lt;='القوائم والإعدادات'!$E$3,"خلال 60 يوم",IF(S195&lt;='القوائم والإعدادات'!$E$2,"خلال 90 يوم",""))),"")</f>
        <v/>
      </c>
      <c r="U195" s="7" t="str">
        <f>IF(B195="","",COUNTIF(التمديدات!$A$2:$A$301,B195))</f>
        <v/>
      </c>
      <c r="V195" s="10"/>
      <c r="W195" s="10"/>
      <c r="X195" s="7" t="str">
        <f t="shared" si="10"/>
        <v/>
      </c>
    </row>
    <row r="196" spans="1:24">
      <c r="A196" s="7">
        <v>195</v>
      </c>
      <c r="B196" s="10"/>
      <c r="C196" s="10"/>
      <c r="D196" s="10"/>
      <c r="E196" s="10"/>
      <c r="F196" s="10"/>
      <c r="G196" s="11"/>
      <c r="H196" s="11"/>
      <c r="I196" s="11"/>
      <c r="J196" s="12" t="str">
        <f>IF(B196="","",MAX(I196,_xlfn.MAXIFS(التمديدات!$C$2:$C$301,التمديدات!$A$2:$A$301,B196)))</f>
        <v/>
      </c>
      <c r="K196" s="7" t="str">
        <f t="shared" si="11"/>
        <v/>
      </c>
      <c r="L196" s="26"/>
      <c r="M196" s="27"/>
      <c r="N196" s="10"/>
      <c r="O196" s="10"/>
      <c r="P196" s="10"/>
      <c r="Q196" s="10"/>
      <c r="R196" s="7" t="str">
        <f ca="1">IF(B196="","",IF(Q196&lt;&gt;"",Q196,IF(H196&gt;TODAY(),"لم يبدأ بعد",IF(J196&lt;TODAY(),"منتهٍ",IF(J196-TODAY()&lt;='القوائم والإعدادات'!$E$2,"قريب الانتهاء","ساري")))))</f>
        <v/>
      </c>
      <c r="S196" s="7" t="str">
        <f t="shared" ca="1" si="9"/>
        <v/>
      </c>
      <c r="T196" s="7" t="str">
        <f ca="1">IF(OR(R196="ساري",R196="قريب الانتهاء"),IF(S196&lt;='القوائم والإعدادات'!$E$4,"عاجل",IF(S196&lt;='القوائم والإعدادات'!$E$3,"خلال 60 يوم",IF(S196&lt;='القوائم والإعدادات'!$E$2,"خلال 90 يوم",""))),"")</f>
        <v/>
      </c>
      <c r="U196" s="7" t="str">
        <f>IF(B196="","",COUNTIF(التمديدات!$A$2:$A$301,B196))</f>
        <v/>
      </c>
      <c r="V196" s="10"/>
      <c r="W196" s="10"/>
      <c r="X196" s="7" t="str">
        <f t="shared" si="10"/>
        <v/>
      </c>
    </row>
    <row r="197" spans="1:24">
      <c r="A197" s="7">
        <v>196</v>
      </c>
      <c r="B197" s="10"/>
      <c r="C197" s="10"/>
      <c r="D197" s="10"/>
      <c r="E197" s="10"/>
      <c r="F197" s="10"/>
      <c r="G197" s="11"/>
      <c r="H197" s="11"/>
      <c r="I197" s="11"/>
      <c r="J197" s="12" t="str">
        <f>IF(B197="","",MAX(I197,_xlfn.MAXIFS(التمديدات!$C$2:$C$301,التمديدات!$A$2:$A$301,B197)))</f>
        <v/>
      </c>
      <c r="K197" s="7" t="str">
        <f t="shared" si="11"/>
        <v/>
      </c>
      <c r="L197" s="26"/>
      <c r="M197" s="27"/>
      <c r="N197" s="10"/>
      <c r="O197" s="10"/>
      <c r="P197" s="10"/>
      <c r="Q197" s="10"/>
      <c r="R197" s="7" t="str">
        <f ca="1">IF(B197="","",IF(Q197&lt;&gt;"",Q197,IF(H197&gt;TODAY(),"لم يبدأ بعد",IF(J197&lt;TODAY(),"منتهٍ",IF(J197-TODAY()&lt;='القوائم والإعدادات'!$E$2,"قريب الانتهاء","ساري")))))</f>
        <v/>
      </c>
      <c r="S197" s="7" t="str">
        <f t="shared" ca="1" si="9"/>
        <v/>
      </c>
      <c r="T197" s="7" t="str">
        <f ca="1">IF(OR(R197="ساري",R197="قريب الانتهاء"),IF(S197&lt;='القوائم والإعدادات'!$E$4,"عاجل",IF(S197&lt;='القوائم والإعدادات'!$E$3,"خلال 60 يوم",IF(S197&lt;='القوائم والإعدادات'!$E$2,"خلال 90 يوم",""))),"")</f>
        <v/>
      </c>
      <c r="U197" s="7" t="str">
        <f>IF(B197="","",COUNTIF(التمديدات!$A$2:$A$301,B197))</f>
        <v/>
      </c>
      <c r="V197" s="10"/>
      <c r="W197" s="10"/>
      <c r="X197" s="7" t="str">
        <f t="shared" si="10"/>
        <v/>
      </c>
    </row>
    <row r="198" spans="1:24">
      <c r="A198" s="7">
        <v>197</v>
      </c>
      <c r="B198" s="10"/>
      <c r="C198" s="10"/>
      <c r="D198" s="10"/>
      <c r="E198" s="10"/>
      <c r="F198" s="10"/>
      <c r="G198" s="11"/>
      <c r="H198" s="11"/>
      <c r="I198" s="11"/>
      <c r="J198" s="12" t="str">
        <f>IF(B198="","",MAX(I198,_xlfn.MAXIFS(التمديدات!$C$2:$C$301,التمديدات!$A$2:$A$301,B198)))</f>
        <v/>
      </c>
      <c r="K198" s="7" t="str">
        <f t="shared" si="11"/>
        <v/>
      </c>
      <c r="L198" s="26"/>
      <c r="M198" s="27"/>
      <c r="N198" s="10"/>
      <c r="O198" s="10"/>
      <c r="P198" s="10"/>
      <c r="Q198" s="10"/>
      <c r="R198" s="7" t="str">
        <f ca="1">IF(B198="","",IF(Q198&lt;&gt;"",Q198,IF(H198&gt;TODAY(),"لم يبدأ بعد",IF(J198&lt;TODAY(),"منتهٍ",IF(J198-TODAY()&lt;='القوائم والإعدادات'!$E$2,"قريب الانتهاء","ساري")))))</f>
        <v/>
      </c>
      <c r="S198" s="7" t="str">
        <f t="shared" ca="1" si="9"/>
        <v/>
      </c>
      <c r="T198" s="7" t="str">
        <f ca="1">IF(OR(R198="ساري",R198="قريب الانتهاء"),IF(S198&lt;='القوائم والإعدادات'!$E$4,"عاجل",IF(S198&lt;='القوائم والإعدادات'!$E$3,"خلال 60 يوم",IF(S198&lt;='القوائم والإعدادات'!$E$2,"خلال 90 يوم",""))),"")</f>
        <v/>
      </c>
      <c r="U198" s="7" t="str">
        <f>IF(B198="","",COUNTIF(التمديدات!$A$2:$A$301,B198))</f>
        <v/>
      </c>
      <c r="V198" s="10"/>
      <c r="W198" s="10"/>
      <c r="X198" s="7" t="str">
        <f t="shared" si="10"/>
        <v/>
      </c>
    </row>
    <row r="199" spans="1:24">
      <c r="A199" s="7">
        <v>198</v>
      </c>
      <c r="B199" s="10"/>
      <c r="C199" s="10"/>
      <c r="D199" s="10"/>
      <c r="E199" s="10"/>
      <c r="F199" s="10"/>
      <c r="G199" s="11"/>
      <c r="H199" s="11"/>
      <c r="I199" s="11"/>
      <c r="J199" s="12" t="str">
        <f>IF(B199="","",MAX(I199,_xlfn.MAXIFS(التمديدات!$C$2:$C$301,التمديدات!$A$2:$A$301,B199)))</f>
        <v/>
      </c>
      <c r="K199" s="7" t="str">
        <f t="shared" si="11"/>
        <v/>
      </c>
      <c r="L199" s="26"/>
      <c r="M199" s="27"/>
      <c r="N199" s="10"/>
      <c r="O199" s="10"/>
      <c r="P199" s="10"/>
      <c r="Q199" s="10"/>
      <c r="R199" s="7" t="str">
        <f ca="1">IF(B199="","",IF(Q199&lt;&gt;"",Q199,IF(H199&gt;TODAY(),"لم يبدأ بعد",IF(J199&lt;TODAY(),"منتهٍ",IF(J199-TODAY()&lt;='القوائم والإعدادات'!$E$2,"قريب الانتهاء","ساري")))))</f>
        <v/>
      </c>
      <c r="S199" s="7" t="str">
        <f t="shared" ca="1" si="9"/>
        <v/>
      </c>
      <c r="T199" s="7" t="str">
        <f ca="1">IF(OR(R199="ساري",R199="قريب الانتهاء"),IF(S199&lt;='القوائم والإعدادات'!$E$4,"عاجل",IF(S199&lt;='القوائم والإعدادات'!$E$3,"خلال 60 يوم",IF(S199&lt;='القوائم والإعدادات'!$E$2,"خلال 90 يوم",""))),"")</f>
        <v/>
      </c>
      <c r="U199" s="7" t="str">
        <f>IF(B199="","",COUNTIF(التمديدات!$A$2:$A$301,B199))</f>
        <v/>
      </c>
      <c r="V199" s="10"/>
      <c r="W199" s="10"/>
      <c r="X199" s="7" t="str">
        <f t="shared" si="10"/>
        <v/>
      </c>
    </row>
    <row r="200" spans="1:24">
      <c r="A200" s="7">
        <v>199</v>
      </c>
      <c r="B200" s="10"/>
      <c r="C200" s="10"/>
      <c r="D200" s="10"/>
      <c r="E200" s="10"/>
      <c r="F200" s="10"/>
      <c r="G200" s="11"/>
      <c r="H200" s="11"/>
      <c r="I200" s="11"/>
      <c r="J200" s="12" t="str">
        <f>IF(B200="","",MAX(I200,_xlfn.MAXIFS(التمديدات!$C$2:$C$301,التمديدات!$A$2:$A$301,B200)))</f>
        <v/>
      </c>
      <c r="K200" s="7" t="str">
        <f t="shared" si="11"/>
        <v/>
      </c>
      <c r="L200" s="26"/>
      <c r="M200" s="27"/>
      <c r="N200" s="10"/>
      <c r="O200" s="10"/>
      <c r="P200" s="10"/>
      <c r="Q200" s="10"/>
      <c r="R200" s="7" t="str">
        <f ca="1">IF(B200="","",IF(Q200&lt;&gt;"",Q200,IF(H200&gt;TODAY(),"لم يبدأ بعد",IF(J200&lt;TODAY(),"منتهٍ",IF(J200-TODAY()&lt;='القوائم والإعدادات'!$E$2,"قريب الانتهاء","ساري")))))</f>
        <v/>
      </c>
      <c r="S200" s="7" t="str">
        <f t="shared" ca="1" si="9"/>
        <v/>
      </c>
      <c r="T200" s="7" t="str">
        <f ca="1">IF(OR(R200="ساري",R200="قريب الانتهاء"),IF(S200&lt;='القوائم والإعدادات'!$E$4,"عاجل",IF(S200&lt;='القوائم والإعدادات'!$E$3,"خلال 60 يوم",IF(S200&lt;='القوائم والإعدادات'!$E$2,"خلال 90 يوم",""))),"")</f>
        <v/>
      </c>
      <c r="U200" s="7" t="str">
        <f>IF(B200="","",COUNTIF(التمديدات!$A$2:$A$301,B200))</f>
        <v/>
      </c>
      <c r="V200" s="10"/>
      <c r="W200" s="10"/>
      <c r="X200" s="7" t="str">
        <f t="shared" si="10"/>
        <v/>
      </c>
    </row>
    <row r="201" spans="1:24">
      <c r="A201" s="7">
        <v>200</v>
      </c>
      <c r="B201" s="10"/>
      <c r="C201" s="10"/>
      <c r="D201" s="10"/>
      <c r="E201" s="10"/>
      <c r="F201" s="10"/>
      <c r="G201" s="11"/>
      <c r="H201" s="11"/>
      <c r="I201" s="11"/>
      <c r="J201" s="12" t="str">
        <f>IF(B201="","",MAX(I201,_xlfn.MAXIFS(التمديدات!$C$2:$C$301,التمديدات!$A$2:$A$301,B201)))</f>
        <v/>
      </c>
      <c r="K201" s="7" t="str">
        <f t="shared" si="11"/>
        <v/>
      </c>
      <c r="L201" s="26"/>
      <c r="M201" s="27"/>
      <c r="N201" s="10"/>
      <c r="O201" s="10"/>
      <c r="P201" s="10"/>
      <c r="Q201" s="10"/>
      <c r="R201" s="7" t="str">
        <f ca="1">IF(B201="","",IF(Q201&lt;&gt;"",Q201,IF(H201&gt;TODAY(),"لم يبدأ بعد",IF(J201&lt;TODAY(),"منتهٍ",IF(J201-TODAY()&lt;='القوائم والإعدادات'!$E$2,"قريب الانتهاء","ساري")))))</f>
        <v/>
      </c>
      <c r="S201" s="7" t="str">
        <f t="shared" ca="1" si="9"/>
        <v/>
      </c>
      <c r="T201" s="7" t="str">
        <f ca="1">IF(OR(R201="ساري",R201="قريب الانتهاء"),IF(S201&lt;='القوائم والإعدادات'!$E$4,"عاجل",IF(S201&lt;='القوائم والإعدادات'!$E$3,"خلال 60 يوم",IF(S201&lt;='القوائم والإعدادات'!$E$2,"خلال 90 يوم",""))),"")</f>
        <v/>
      </c>
      <c r="U201" s="7" t="str">
        <f>IF(B201="","",COUNTIF(التمديدات!$A$2:$A$301,B201))</f>
        <v/>
      </c>
      <c r="V201" s="10"/>
      <c r="W201" s="10"/>
      <c r="X201" s="7" t="str">
        <f t="shared" si="10"/>
        <v/>
      </c>
    </row>
    <row r="202" spans="1:24">
      <c r="A202" s="7">
        <v>201</v>
      </c>
      <c r="B202" s="10"/>
      <c r="C202" s="10"/>
      <c r="D202" s="10"/>
      <c r="E202" s="10"/>
      <c r="F202" s="10"/>
      <c r="G202" s="11"/>
      <c r="H202" s="11"/>
      <c r="I202" s="11"/>
      <c r="J202" s="12" t="str">
        <f>IF(B202="","",MAX(I202,_xlfn.MAXIFS(التمديدات!$C$2:$C$301,التمديدات!$A$2:$A$301,B202)))</f>
        <v/>
      </c>
      <c r="K202" s="7" t="str">
        <f t="shared" si="11"/>
        <v/>
      </c>
      <c r="L202" s="26"/>
      <c r="M202" s="27"/>
      <c r="N202" s="10"/>
      <c r="O202" s="10"/>
      <c r="P202" s="10"/>
      <c r="Q202" s="10"/>
      <c r="R202" s="7" t="str">
        <f ca="1">IF(B202="","",IF(Q202&lt;&gt;"",Q202,IF(H202&gt;TODAY(),"لم يبدأ بعد",IF(J202&lt;TODAY(),"منتهٍ",IF(J202-TODAY()&lt;='القوائم والإعدادات'!$E$2,"قريب الانتهاء","ساري")))))</f>
        <v/>
      </c>
      <c r="S202" s="7" t="str">
        <f t="shared" ca="1" si="9"/>
        <v/>
      </c>
      <c r="T202" s="7" t="str">
        <f ca="1">IF(OR(R202="ساري",R202="قريب الانتهاء"),IF(S202&lt;='القوائم والإعدادات'!$E$4,"عاجل",IF(S202&lt;='القوائم والإعدادات'!$E$3,"خلال 60 يوم",IF(S202&lt;='القوائم والإعدادات'!$E$2,"خلال 90 يوم",""))),"")</f>
        <v/>
      </c>
      <c r="U202" s="7" t="str">
        <f>IF(B202="","",COUNTIF(التمديدات!$A$2:$A$301,B202))</f>
        <v/>
      </c>
      <c r="V202" s="10"/>
      <c r="W202" s="10"/>
      <c r="X202" s="7" t="str">
        <f t="shared" si="10"/>
        <v/>
      </c>
    </row>
    <row r="203" spans="1:24">
      <c r="A203" s="7">
        <v>202</v>
      </c>
      <c r="B203" s="10"/>
      <c r="C203" s="10"/>
      <c r="D203" s="10"/>
      <c r="E203" s="10"/>
      <c r="F203" s="10"/>
      <c r="G203" s="11"/>
      <c r="H203" s="11"/>
      <c r="I203" s="11"/>
      <c r="J203" s="12" t="str">
        <f>IF(B203="","",MAX(I203,_xlfn.MAXIFS(التمديدات!$C$2:$C$301,التمديدات!$A$2:$A$301,B203)))</f>
        <v/>
      </c>
      <c r="K203" s="7" t="str">
        <f t="shared" si="11"/>
        <v/>
      </c>
      <c r="L203" s="26"/>
      <c r="M203" s="27"/>
      <c r="N203" s="10"/>
      <c r="O203" s="10"/>
      <c r="P203" s="10"/>
      <c r="Q203" s="10"/>
      <c r="R203" s="7" t="str">
        <f ca="1">IF(B203="","",IF(Q203&lt;&gt;"",Q203,IF(H203&gt;TODAY(),"لم يبدأ بعد",IF(J203&lt;TODAY(),"منتهٍ",IF(J203-TODAY()&lt;='القوائم والإعدادات'!$E$2,"قريب الانتهاء","ساري")))))</f>
        <v/>
      </c>
      <c r="S203" s="7" t="str">
        <f t="shared" ca="1" si="9"/>
        <v/>
      </c>
      <c r="T203" s="7" t="str">
        <f ca="1">IF(OR(R203="ساري",R203="قريب الانتهاء"),IF(S203&lt;='القوائم والإعدادات'!$E$4,"عاجل",IF(S203&lt;='القوائم والإعدادات'!$E$3,"خلال 60 يوم",IF(S203&lt;='القوائم والإعدادات'!$E$2,"خلال 90 يوم",""))),"")</f>
        <v/>
      </c>
      <c r="U203" s="7" t="str">
        <f>IF(B203="","",COUNTIF(التمديدات!$A$2:$A$301,B203))</f>
        <v/>
      </c>
      <c r="V203" s="10"/>
      <c r="W203" s="10"/>
      <c r="X203" s="7" t="str">
        <f t="shared" si="10"/>
        <v/>
      </c>
    </row>
    <row r="204" spans="1:24">
      <c r="A204" s="7">
        <v>203</v>
      </c>
      <c r="B204" s="10"/>
      <c r="C204" s="10"/>
      <c r="D204" s="10"/>
      <c r="E204" s="10"/>
      <c r="F204" s="10"/>
      <c r="G204" s="11"/>
      <c r="H204" s="11"/>
      <c r="I204" s="11"/>
      <c r="J204" s="12" t="str">
        <f>IF(B204="","",MAX(I204,_xlfn.MAXIFS(التمديدات!$C$2:$C$301,التمديدات!$A$2:$A$301,B204)))</f>
        <v/>
      </c>
      <c r="K204" s="7" t="str">
        <f t="shared" si="11"/>
        <v/>
      </c>
      <c r="L204" s="26"/>
      <c r="M204" s="27"/>
      <c r="N204" s="10"/>
      <c r="O204" s="10"/>
      <c r="P204" s="10"/>
      <c r="Q204" s="10"/>
      <c r="R204" s="7" t="str">
        <f ca="1">IF(B204="","",IF(Q204&lt;&gt;"",Q204,IF(H204&gt;TODAY(),"لم يبدأ بعد",IF(J204&lt;TODAY(),"منتهٍ",IF(J204-TODAY()&lt;='القوائم والإعدادات'!$E$2,"قريب الانتهاء","ساري")))))</f>
        <v/>
      </c>
      <c r="S204" s="7" t="str">
        <f t="shared" ca="1" si="9"/>
        <v/>
      </c>
      <c r="T204" s="7" t="str">
        <f ca="1">IF(OR(R204="ساري",R204="قريب الانتهاء"),IF(S204&lt;='القوائم والإعدادات'!$E$4,"عاجل",IF(S204&lt;='القوائم والإعدادات'!$E$3,"خلال 60 يوم",IF(S204&lt;='القوائم والإعدادات'!$E$2,"خلال 90 يوم",""))),"")</f>
        <v/>
      </c>
      <c r="U204" s="7" t="str">
        <f>IF(B204="","",COUNTIF(التمديدات!$A$2:$A$301,B204))</f>
        <v/>
      </c>
      <c r="V204" s="10"/>
      <c r="W204" s="10"/>
      <c r="X204" s="7" t="str">
        <f t="shared" si="10"/>
        <v/>
      </c>
    </row>
    <row r="205" spans="1:24">
      <c r="A205" s="7">
        <v>204</v>
      </c>
      <c r="B205" s="10"/>
      <c r="C205" s="10"/>
      <c r="D205" s="10"/>
      <c r="E205" s="10"/>
      <c r="F205" s="10"/>
      <c r="G205" s="11"/>
      <c r="H205" s="11"/>
      <c r="I205" s="11"/>
      <c r="J205" s="12" t="str">
        <f>IF(B205="","",MAX(I205,_xlfn.MAXIFS(التمديدات!$C$2:$C$301,التمديدات!$A$2:$A$301,B205)))</f>
        <v/>
      </c>
      <c r="K205" s="7" t="str">
        <f t="shared" si="11"/>
        <v/>
      </c>
      <c r="L205" s="26"/>
      <c r="M205" s="27"/>
      <c r="N205" s="10"/>
      <c r="O205" s="10"/>
      <c r="P205" s="10"/>
      <c r="Q205" s="10"/>
      <c r="R205" s="7" t="str">
        <f ca="1">IF(B205="","",IF(Q205&lt;&gt;"",Q205,IF(H205&gt;TODAY(),"لم يبدأ بعد",IF(J205&lt;TODAY(),"منتهٍ",IF(J205-TODAY()&lt;='القوائم والإعدادات'!$E$2,"قريب الانتهاء","ساري")))))</f>
        <v/>
      </c>
      <c r="S205" s="7" t="str">
        <f t="shared" ca="1" si="9"/>
        <v/>
      </c>
      <c r="T205" s="7" t="str">
        <f ca="1">IF(OR(R205="ساري",R205="قريب الانتهاء"),IF(S205&lt;='القوائم والإعدادات'!$E$4,"عاجل",IF(S205&lt;='القوائم والإعدادات'!$E$3,"خلال 60 يوم",IF(S205&lt;='القوائم والإعدادات'!$E$2,"خلال 90 يوم",""))),"")</f>
        <v/>
      </c>
      <c r="U205" s="7" t="str">
        <f>IF(B205="","",COUNTIF(التمديدات!$A$2:$A$301,B205))</f>
        <v/>
      </c>
      <c r="V205" s="10"/>
      <c r="W205" s="10"/>
      <c r="X205" s="7" t="str">
        <f t="shared" si="10"/>
        <v/>
      </c>
    </row>
    <row r="206" spans="1:24">
      <c r="A206" s="7">
        <v>205</v>
      </c>
      <c r="B206" s="10"/>
      <c r="C206" s="10"/>
      <c r="D206" s="10"/>
      <c r="E206" s="10"/>
      <c r="F206" s="10"/>
      <c r="G206" s="11"/>
      <c r="H206" s="11"/>
      <c r="I206" s="11"/>
      <c r="J206" s="12" t="str">
        <f>IF(B206="","",MAX(I206,_xlfn.MAXIFS(التمديدات!$C$2:$C$301,التمديدات!$A$2:$A$301,B206)))</f>
        <v/>
      </c>
      <c r="K206" s="7" t="str">
        <f t="shared" si="11"/>
        <v/>
      </c>
      <c r="L206" s="26"/>
      <c r="M206" s="27"/>
      <c r="N206" s="10"/>
      <c r="O206" s="10"/>
      <c r="P206" s="10"/>
      <c r="Q206" s="10"/>
      <c r="R206" s="7" t="str">
        <f ca="1">IF(B206="","",IF(Q206&lt;&gt;"",Q206,IF(H206&gt;TODAY(),"لم يبدأ بعد",IF(J206&lt;TODAY(),"منتهٍ",IF(J206-TODAY()&lt;='القوائم والإعدادات'!$E$2,"قريب الانتهاء","ساري")))))</f>
        <v/>
      </c>
      <c r="S206" s="7" t="str">
        <f t="shared" ca="1" si="9"/>
        <v/>
      </c>
      <c r="T206" s="7" t="str">
        <f ca="1">IF(OR(R206="ساري",R206="قريب الانتهاء"),IF(S206&lt;='القوائم والإعدادات'!$E$4,"عاجل",IF(S206&lt;='القوائم والإعدادات'!$E$3,"خلال 60 يوم",IF(S206&lt;='القوائم والإعدادات'!$E$2,"خلال 90 يوم",""))),"")</f>
        <v/>
      </c>
      <c r="U206" s="7" t="str">
        <f>IF(B206="","",COUNTIF(التمديدات!$A$2:$A$301,B206))</f>
        <v/>
      </c>
      <c r="V206" s="10"/>
      <c r="W206" s="10"/>
      <c r="X206" s="7" t="str">
        <f t="shared" si="10"/>
        <v/>
      </c>
    </row>
    <row r="207" spans="1:24">
      <c r="A207" s="7">
        <v>206</v>
      </c>
      <c r="B207" s="10"/>
      <c r="C207" s="10"/>
      <c r="D207" s="10"/>
      <c r="E207" s="10"/>
      <c r="F207" s="10"/>
      <c r="G207" s="11"/>
      <c r="H207" s="11"/>
      <c r="I207" s="11"/>
      <c r="J207" s="12" t="str">
        <f>IF(B207="","",MAX(I207,_xlfn.MAXIFS(التمديدات!$C$2:$C$301,التمديدات!$A$2:$A$301,B207)))</f>
        <v/>
      </c>
      <c r="K207" s="7" t="str">
        <f t="shared" si="11"/>
        <v/>
      </c>
      <c r="L207" s="26"/>
      <c r="M207" s="27"/>
      <c r="N207" s="10"/>
      <c r="O207" s="10"/>
      <c r="P207" s="10"/>
      <c r="Q207" s="10"/>
      <c r="R207" s="7" t="str">
        <f ca="1">IF(B207="","",IF(Q207&lt;&gt;"",Q207,IF(H207&gt;TODAY(),"لم يبدأ بعد",IF(J207&lt;TODAY(),"منتهٍ",IF(J207-TODAY()&lt;='القوائم والإعدادات'!$E$2,"قريب الانتهاء","ساري")))))</f>
        <v/>
      </c>
      <c r="S207" s="7" t="str">
        <f t="shared" ca="1" si="9"/>
        <v/>
      </c>
      <c r="T207" s="7" t="str">
        <f ca="1">IF(OR(R207="ساري",R207="قريب الانتهاء"),IF(S207&lt;='القوائم والإعدادات'!$E$4,"عاجل",IF(S207&lt;='القوائم والإعدادات'!$E$3,"خلال 60 يوم",IF(S207&lt;='القوائم والإعدادات'!$E$2,"خلال 90 يوم",""))),"")</f>
        <v/>
      </c>
      <c r="U207" s="7" t="str">
        <f>IF(B207="","",COUNTIF(التمديدات!$A$2:$A$301,B207))</f>
        <v/>
      </c>
      <c r="V207" s="10"/>
      <c r="W207" s="10"/>
      <c r="X207" s="7" t="str">
        <f t="shared" si="10"/>
        <v/>
      </c>
    </row>
    <row r="208" spans="1:24">
      <c r="A208" s="7">
        <v>207</v>
      </c>
      <c r="B208" s="10"/>
      <c r="C208" s="10"/>
      <c r="D208" s="10"/>
      <c r="E208" s="10"/>
      <c r="F208" s="10"/>
      <c r="G208" s="11"/>
      <c r="H208" s="11"/>
      <c r="I208" s="11"/>
      <c r="J208" s="12" t="str">
        <f>IF(B208="","",MAX(I208,_xlfn.MAXIFS(التمديدات!$C$2:$C$301,التمديدات!$A$2:$A$301,B208)))</f>
        <v/>
      </c>
      <c r="K208" s="7" t="str">
        <f t="shared" si="11"/>
        <v/>
      </c>
      <c r="L208" s="26"/>
      <c r="M208" s="27"/>
      <c r="N208" s="10"/>
      <c r="O208" s="10"/>
      <c r="P208" s="10"/>
      <c r="Q208" s="10"/>
      <c r="R208" s="7" t="str">
        <f ca="1">IF(B208="","",IF(Q208&lt;&gt;"",Q208,IF(H208&gt;TODAY(),"لم يبدأ بعد",IF(J208&lt;TODAY(),"منتهٍ",IF(J208-TODAY()&lt;='القوائم والإعدادات'!$E$2,"قريب الانتهاء","ساري")))))</f>
        <v/>
      </c>
      <c r="S208" s="7" t="str">
        <f t="shared" ca="1" si="9"/>
        <v/>
      </c>
      <c r="T208" s="7" t="str">
        <f ca="1">IF(OR(R208="ساري",R208="قريب الانتهاء"),IF(S208&lt;='القوائم والإعدادات'!$E$4,"عاجل",IF(S208&lt;='القوائم والإعدادات'!$E$3,"خلال 60 يوم",IF(S208&lt;='القوائم والإعدادات'!$E$2,"خلال 90 يوم",""))),"")</f>
        <v/>
      </c>
      <c r="U208" s="7" t="str">
        <f>IF(B208="","",COUNTIF(التمديدات!$A$2:$A$301,B208))</f>
        <v/>
      </c>
      <c r="V208" s="10"/>
      <c r="W208" s="10"/>
      <c r="X208" s="7" t="str">
        <f t="shared" si="10"/>
        <v/>
      </c>
    </row>
    <row r="209" spans="1:24">
      <c r="A209" s="7">
        <v>208</v>
      </c>
      <c r="B209" s="10"/>
      <c r="C209" s="10"/>
      <c r="D209" s="10"/>
      <c r="E209" s="10"/>
      <c r="F209" s="10"/>
      <c r="G209" s="11"/>
      <c r="H209" s="11"/>
      <c r="I209" s="11"/>
      <c r="J209" s="12" t="str">
        <f>IF(B209="","",MAX(I209,_xlfn.MAXIFS(التمديدات!$C$2:$C$301,التمديدات!$A$2:$A$301,B209)))</f>
        <v/>
      </c>
      <c r="K209" s="7" t="str">
        <f t="shared" si="11"/>
        <v/>
      </c>
      <c r="L209" s="26"/>
      <c r="M209" s="27"/>
      <c r="N209" s="10"/>
      <c r="O209" s="10"/>
      <c r="P209" s="10"/>
      <c r="Q209" s="10"/>
      <c r="R209" s="7" t="str">
        <f ca="1">IF(B209="","",IF(Q209&lt;&gt;"",Q209,IF(H209&gt;TODAY(),"لم يبدأ بعد",IF(J209&lt;TODAY(),"منتهٍ",IF(J209-TODAY()&lt;='القوائم والإعدادات'!$E$2,"قريب الانتهاء","ساري")))))</f>
        <v/>
      </c>
      <c r="S209" s="7" t="str">
        <f t="shared" ca="1" si="9"/>
        <v/>
      </c>
      <c r="T209" s="7" t="str">
        <f ca="1">IF(OR(R209="ساري",R209="قريب الانتهاء"),IF(S209&lt;='القوائم والإعدادات'!$E$4,"عاجل",IF(S209&lt;='القوائم والإعدادات'!$E$3,"خلال 60 يوم",IF(S209&lt;='القوائم والإعدادات'!$E$2,"خلال 90 يوم",""))),"")</f>
        <v/>
      </c>
      <c r="U209" s="7" t="str">
        <f>IF(B209="","",COUNTIF(التمديدات!$A$2:$A$301,B209))</f>
        <v/>
      </c>
      <c r="V209" s="10"/>
      <c r="W209" s="10"/>
      <c r="X209" s="7" t="str">
        <f t="shared" si="10"/>
        <v/>
      </c>
    </row>
    <row r="210" spans="1:24">
      <c r="A210" s="7">
        <v>209</v>
      </c>
      <c r="B210" s="10"/>
      <c r="C210" s="10"/>
      <c r="D210" s="10"/>
      <c r="E210" s="10"/>
      <c r="F210" s="10"/>
      <c r="G210" s="11"/>
      <c r="H210" s="11"/>
      <c r="I210" s="11"/>
      <c r="J210" s="12" t="str">
        <f>IF(B210="","",MAX(I210,_xlfn.MAXIFS(التمديدات!$C$2:$C$301,التمديدات!$A$2:$A$301,B210)))</f>
        <v/>
      </c>
      <c r="K210" s="7" t="str">
        <f t="shared" si="11"/>
        <v/>
      </c>
      <c r="L210" s="26"/>
      <c r="M210" s="27"/>
      <c r="N210" s="10"/>
      <c r="O210" s="10"/>
      <c r="P210" s="10"/>
      <c r="Q210" s="10"/>
      <c r="R210" s="7" t="str">
        <f ca="1">IF(B210="","",IF(Q210&lt;&gt;"",Q210,IF(H210&gt;TODAY(),"لم يبدأ بعد",IF(J210&lt;TODAY(),"منتهٍ",IF(J210-TODAY()&lt;='القوائم والإعدادات'!$E$2,"قريب الانتهاء","ساري")))))</f>
        <v/>
      </c>
      <c r="S210" s="7" t="str">
        <f t="shared" ref="S210:S273" ca="1" si="12">IF(B210="","",J210-TODAY())</f>
        <v/>
      </c>
      <c r="T210" s="7" t="str">
        <f ca="1">IF(OR(R210="ساري",R210="قريب الانتهاء"),IF(S210&lt;='القوائم والإعدادات'!$E$4,"عاجل",IF(S210&lt;='القوائم والإعدادات'!$E$3,"خلال 60 يوم",IF(S210&lt;='القوائم والإعدادات'!$E$2,"خلال 90 يوم",""))),"")</f>
        <v/>
      </c>
      <c r="U210" s="7" t="str">
        <f>IF(B210="","",COUNTIF(التمديدات!$A$2:$A$301,B210))</f>
        <v/>
      </c>
      <c r="V210" s="10"/>
      <c r="W210" s="10"/>
      <c r="X210" s="7" t="str">
        <f t="shared" ref="X210:X273" si="13">IF(B210="","",IF(COUNTIFS($B$2:$B$501,B210,$D$2:$D$501,D210)&gt;1,"مكرر!",""))</f>
        <v/>
      </c>
    </row>
    <row r="211" spans="1:24">
      <c r="A211" s="7">
        <v>210</v>
      </c>
      <c r="B211" s="10"/>
      <c r="C211" s="10"/>
      <c r="D211" s="10"/>
      <c r="E211" s="10"/>
      <c r="F211" s="10"/>
      <c r="G211" s="11"/>
      <c r="H211" s="11"/>
      <c r="I211" s="11"/>
      <c r="J211" s="12" t="str">
        <f>IF(B211="","",MAX(I211,_xlfn.MAXIFS(التمديدات!$C$2:$C$301,التمديدات!$A$2:$A$301,B211)))</f>
        <v/>
      </c>
      <c r="K211" s="7" t="str">
        <f t="shared" si="11"/>
        <v/>
      </c>
      <c r="L211" s="26"/>
      <c r="M211" s="27"/>
      <c r="N211" s="10"/>
      <c r="O211" s="10"/>
      <c r="P211" s="10"/>
      <c r="Q211" s="10"/>
      <c r="R211" s="7" t="str">
        <f ca="1">IF(B211="","",IF(Q211&lt;&gt;"",Q211,IF(H211&gt;TODAY(),"لم يبدأ بعد",IF(J211&lt;TODAY(),"منتهٍ",IF(J211-TODAY()&lt;='القوائم والإعدادات'!$E$2,"قريب الانتهاء","ساري")))))</f>
        <v/>
      </c>
      <c r="S211" s="7" t="str">
        <f t="shared" ca="1" si="12"/>
        <v/>
      </c>
      <c r="T211" s="7" t="str">
        <f ca="1">IF(OR(R211="ساري",R211="قريب الانتهاء"),IF(S211&lt;='القوائم والإعدادات'!$E$4,"عاجل",IF(S211&lt;='القوائم والإعدادات'!$E$3,"خلال 60 يوم",IF(S211&lt;='القوائم والإعدادات'!$E$2,"خلال 90 يوم",""))),"")</f>
        <v/>
      </c>
      <c r="U211" s="7" t="str">
        <f>IF(B211="","",COUNTIF(التمديدات!$A$2:$A$301,B211))</f>
        <v/>
      </c>
      <c r="V211" s="10"/>
      <c r="W211" s="10"/>
      <c r="X211" s="7" t="str">
        <f t="shared" si="13"/>
        <v/>
      </c>
    </row>
    <row r="212" spans="1:24">
      <c r="A212" s="7">
        <v>211</v>
      </c>
      <c r="B212" s="10"/>
      <c r="C212" s="10"/>
      <c r="D212" s="10"/>
      <c r="E212" s="10"/>
      <c r="F212" s="10"/>
      <c r="G212" s="11"/>
      <c r="H212" s="11"/>
      <c r="I212" s="11"/>
      <c r="J212" s="12" t="str">
        <f>IF(B212="","",MAX(I212,_xlfn.MAXIFS(التمديدات!$C$2:$C$301,التمديدات!$A$2:$A$301,B212)))</f>
        <v/>
      </c>
      <c r="K212" s="7" t="str">
        <f t="shared" si="11"/>
        <v/>
      </c>
      <c r="L212" s="26"/>
      <c r="M212" s="27"/>
      <c r="N212" s="10"/>
      <c r="O212" s="10"/>
      <c r="P212" s="10"/>
      <c r="Q212" s="10"/>
      <c r="R212" s="7" t="str">
        <f ca="1">IF(B212="","",IF(Q212&lt;&gt;"",Q212,IF(H212&gt;TODAY(),"لم يبدأ بعد",IF(J212&lt;TODAY(),"منتهٍ",IF(J212-TODAY()&lt;='القوائم والإعدادات'!$E$2,"قريب الانتهاء","ساري")))))</f>
        <v/>
      </c>
      <c r="S212" s="7" t="str">
        <f t="shared" ca="1" si="12"/>
        <v/>
      </c>
      <c r="T212" s="7" t="str">
        <f ca="1">IF(OR(R212="ساري",R212="قريب الانتهاء"),IF(S212&lt;='القوائم والإعدادات'!$E$4,"عاجل",IF(S212&lt;='القوائم والإعدادات'!$E$3,"خلال 60 يوم",IF(S212&lt;='القوائم والإعدادات'!$E$2,"خلال 90 يوم",""))),"")</f>
        <v/>
      </c>
      <c r="U212" s="7" t="str">
        <f>IF(B212="","",COUNTIF(التمديدات!$A$2:$A$301,B212))</f>
        <v/>
      </c>
      <c r="V212" s="10"/>
      <c r="W212" s="10"/>
      <c r="X212" s="7" t="str">
        <f t="shared" si="13"/>
        <v/>
      </c>
    </row>
    <row r="213" spans="1:24">
      <c r="A213" s="7">
        <v>212</v>
      </c>
      <c r="B213" s="10"/>
      <c r="C213" s="10"/>
      <c r="D213" s="10"/>
      <c r="E213" s="10"/>
      <c r="F213" s="10"/>
      <c r="G213" s="11"/>
      <c r="H213" s="11"/>
      <c r="I213" s="11"/>
      <c r="J213" s="12" t="str">
        <f>IF(B213="","",MAX(I213,_xlfn.MAXIFS(التمديدات!$C$2:$C$301,التمديدات!$A$2:$A$301,B213)))</f>
        <v/>
      </c>
      <c r="K213" s="7" t="str">
        <f t="shared" si="11"/>
        <v/>
      </c>
      <c r="L213" s="26"/>
      <c r="M213" s="27"/>
      <c r="N213" s="10"/>
      <c r="O213" s="10"/>
      <c r="P213" s="10"/>
      <c r="Q213" s="10"/>
      <c r="R213" s="7" t="str">
        <f ca="1">IF(B213="","",IF(Q213&lt;&gt;"",Q213,IF(H213&gt;TODAY(),"لم يبدأ بعد",IF(J213&lt;TODAY(),"منتهٍ",IF(J213-TODAY()&lt;='القوائم والإعدادات'!$E$2,"قريب الانتهاء","ساري")))))</f>
        <v/>
      </c>
      <c r="S213" s="7" t="str">
        <f t="shared" ca="1" si="12"/>
        <v/>
      </c>
      <c r="T213" s="7" t="str">
        <f ca="1">IF(OR(R213="ساري",R213="قريب الانتهاء"),IF(S213&lt;='القوائم والإعدادات'!$E$4,"عاجل",IF(S213&lt;='القوائم والإعدادات'!$E$3,"خلال 60 يوم",IF(S213&lt;='القوائم والإعدادات'!$E$2,"خلال 90 يوم",""))),"")</f>
        <v/>
      </c>
      <c r="U213" s="7" t="str">
        <f>IF(B213="","",COUNTIF(التمديدات!$A$2:$A$301,B213))</f>
        <v/>
      </c>
      <c r="V213" s="10"/>
      <c r="W213" s="10"/>
      <c r="X213" s="7" t="str">
        <f t="shared" si="13"/>
        <v/>
      </c>
    </row>
    <row r="214" spans="1:24">
      <c r="A214" s="7">
        <v>213</v>
      </c>
      <c r="B214" s="10"/>
      <c r="C214" s="10"/>
      <c r="D214" s="10"/>
      <c r="E214" s="10"/>
      <c r="F214" s="10"/>
      <c r="G214" s="11"/>
      <c r="H214" s="11"/>
      <c r="I214" s="11"/>
      <c r="J214" s="12" t="str">
        <f>IF(B214="","",MAX(I214,_xlfn.MAXIFS(التمديدات!$C$2:$C$301,التمديدات!$A$2:$A$301,B214)))</f>
        <v/>
      </c>
      <c r="K214" s="7" t="str">
        <f t="shared" si="11"/>
        <v/>
      </c>
      <c r="L214" s="26"/>
      <c r="M214" s="27"/>
      <c r="N214" s="10"/>
      <c r="O214" s="10"/>
      <c r="P214" s="10"/>
      <c r="Q214" s="10"/>
      <c r="R214" s="7" t="str">
        <f ca="1">IF(B214="","",IF(Q214&lt;&gt;"",Q214,IF(H214&gt;TODAY(),"لم يبدأ بعد",IF(J214&lt;TODAY(),"منتهٍ",IF(J214-TODAY()&lt;='القوائم والإعدادات'!$E$2,"قريب الانتهاء","ساري")))))</f>
        <v/>
      </c>
      <c r="S214" s="7" t="str">
        <f t="shared" ca="1" si="12"/>
        <v/>
      </c>
      <c r="T214" s="7" t="str">
        <f ca="1">IF(OR(R214="ساري",R214="قريب الانتهاء"),IF(S214&lt;='القوائم والإعدادات'!$E$4,"عاجل",IF(S214&lt;='القوائم والإعدادات'!$E$3,"خلال 60 يوم",IF(S214&lt;='القوائم والإعدادات'!$E$2,"خلال 90 يوم",""))),"")</f>
        <v/>
      </c>
      <c r="U214" s="7" t="str">
        <f>IF(B214="","",COUNTIF(التمديدات!$A$2:$A$301,B214))</f>
        <v/>
      </c>
      <c r="V214" s="10"/>
      <c r="W214" s="10"/>
      <c r="X214" s="7" t="str">
        <f t="shared" si="13"/>
        <v/>
      </c>
    </row>
    <row r="215" spans="1:24">
      <c r="A215" s="7">
        <v>214</v>
      </c>
      <c r="B215" s="10"/>
      <c r="C215" s="10"/>
      <c r="D215" s="10"/>
      <c r="E215" s="10"/>
      <c r="F215" s="10"/>
      <c r="G215" s="11"/>
      <c r="H215" s="11"/>
      <c r="I215" s="11"/>
      <c r="J215" s="12" t="str">
        <f>IF(B215="","",MAX(I215,_xlfn.MAXIFS(التمديدات!$C$2:$C$301,التمديدات!$A$2:$A$301,B215)))</f>
        <v/>
      </c>
      <c r="K215" s="7" t="str">
        <f t="shared" si="11"/>
        <v/>
      </c>
      <c r="L215" s="26"/>
      <c r="M215" s="27"/>
      <c r="N215" s="10"/>
      <c r="O215" s="10"/>
      <c r="P215" s="10"/>
      <c r="Q215" s="10"/>
      <c r="R215" s="7" t="str">
        <f ca="1">IF(B215="","",IF(Q215&lt;&gt;"",Q215,IF(H215&gt;TODAY(),"لم يبدأ بعد",IF(J215&lt;TODAY(),"منتهٍ",IF(J215-TODAY()&lt;='القوائم والإعدادات'!$E$2,"قريب الانتهاء","ساري")))))</f>
        <v/>
      </c>
      <c r="S215" s="7" t="str">
        <f t="shared" ca="1" si="12"/>
        <v/>
      </c>
      <c r="T215" s="7" t="str">
        <f ca="1">IF(OR(R215="ساري",R215="قريب الانتهاء"),IF(S215&lt;='القوائم والإعدادات'!$E$4,"عاجل",IF(S215&lt;='القوائم والإعدادات'!$E$3,"خلال 60 يوم",IF(S215&lt;='القوائم والإعدادات'!$E$2,"خلال 90 يوم",""))),"")</f>
        <v/>
      </c>
      <c r="U215" s="7" t="str">
        <f>IF(B215="","",COUNTIF(التمديدات!$A$2:$A$301,B215))</f>
        <v/>
      </c>
      <c r="V215" s="10"/>
      <c r="W215" s="10"/>
      <c r="X215" s="7" t="str">
        <f t="shared" si="13"/>
        <v/>
      </c>
    </row>
    <row r="216" spans="1:24">
      <c r="A216" s="7">
        <v>215</v>
      </c>
      <c r="B216" s="10"/>
      <c r="C216" s="10"/>
      <c r="D216" s="10"/>
      <c r="E216" s="10"/>
      <c r="F216" s="10"/>
      <c r="G216" s="11"/>
      <c r="H216" s="11"/>
      <c r="I216" s="11"/>
      <c r="J216" s="12" t="str">
        <f>IF(B216="","",MAX(I216,_xlfn.MAXIFS(التمديدات!$C$2:$C$301,التمديدات!$A$2:$A$301,B216)))</f>
        <v/>
      </c>
      <c r="K216" s="7" t="str">
        <f t="shared" si="11"/>
        <v/>
      </c>
      <c r="L216" s="26"/>
      <c r="M216" s="27"/>
      <c r="N216" s="10"/>
      <c r="O216" s="10"/>
      <c r="P216" s="10"/>
      <c r="Q216" s="10"/>
      <c r="R216" s="7" t="str">
        <f ca="1">IF(B216="","",IF(Q216&lt;&gt;"",Q216,IF(H216&gt;TODAY(),"لم يبدأ بعد",IF(J216&lt;TODAY(),"منتهٍ",IF(J216-TODAY()&lt;='القوائم والإعدادات'!$E$2,"قريب الانتهاء","ساري")))))</f>
        <v/>
      </c>
      <c r="S216" s="7" t="str">
        <f t="shared" ca="1" si="12"/>
        <v/>
      </c>
      <c r="T216" s="7" t="str">
        <f ca="1">IF(OR(R216="ساري",R216="قريب الانتهاء"),IF(S216&lt;='القوائم والإعدادات'!$E$4,"عاجل",IF(S216&lt;='القوائم والإعدادات'!$E$3,"خلال 60 يوم",IF(S216&lt;='القوائم والإعدادات'!$E$2,"خلال 90 يوم",""))),"")</f>
        <v/>
      </c>
      <c r="U216" s="7" t="str">
        <f>IF(B216="","",COUNTIF(التمديدات!$A$2:$A$301,B216))</f>
        <v/>
      </c>
      <c r="V216" s="10"/>
      <c r="W216" s="10"/>
      <c r="X216" s="7" t="str">
        <f t="shared" si="13"/>
        <v/>
      </c>
    </row>
    <row r="217" spans="1:24">
      <c r="A217" s="7">
        <v>216</v>
      </c>
      <c r="B217" s="10"/>
      <c r="C217" s="10"/>
      <c r="D217" s="10"/>
      <c r="E217" s="10"/>
      <c r="F217" s="10"/>
      <c r="G217" s="11"/>
      <c r="H217" s="11"/>
      <c r="I217" s="11"/>
      <c r="J217" s="12" t="str">
        <f>IF(B217="","",MAX(I217,_xlfn.MAXIFS(التمديدات!$C$2:$C$301,التمديدات!$A$2:$A$301,B217)))</f>
        <v/>
      </c>
      <c r="K217" s="7" t="str">
        <f t="shared" si="11"/>
        <v/>
      </c>
      <c r="L217" s="26"/>
      <c r="M217" s="27"/>
      <c r="N217" s="10"/>
      <c r="O217" s="10"/>
      <c r="P217" s="10"/>
      <c r="Q217" s="10"/>
      <c r="R217" s="7" t="str">
        <f ca="1">IF(B217="","",IF(Q217&lt;&gt;"",Q217,IF(H217&gt;TODAY(),"لم يبدأ بعد",IF(J217&lt;TODAY(),"منتهٍ",IF(J217-TODAY()&lt;='القوائم والإعدادات'!$E$2,"قريب الانتهاء","ساري")))))</f>
        <v/>
      </c>
      <c r="S217" s="7" t="str">
        <f t="shared" ca="1" si="12"/>
        <v/>
      </c>
      <c r="T217" s="7" t="str">
        <f ca="1">IF(OR(R217="ساري",R217="قريب الانتهاء"),IF(S217&lt;='القوائم والإعدادات'!$E$4,"عاجل",IF(S217&lt;='القوائم والإعدادات'!$E$3,"خلال 60 يوم",IF(S217&lt;='القوائم والإعدادات'!$E$2,"خلال 90 يوم",""))),"")</f>
        <v/>
      </c>
      <c r="U217" s="7" t="str">
        <f>IF(B217="","",COUNTIF(التمديدات!$A$2:$A$301,B217))</f>
        <v/>
      </c>
      <c r="V217" s="10"/>
      <c r="W217" s="10"/>
      <c r="X217" s="7" t="str">
        <f t="shared" si="13"/>
        <v/>
      </c>
    </row>
    <row r="218" spans="1:24">
      <c r="A218" s="7">
        <v>217</v>
      </c>
      <c r="B218" s="10"/>
      <c r="C218" s="10"/>
      <c r="D218" s="10"/>
      <c r="E218" s="10"/>
      <c r="F218" s="10"/>
      <c r="G218" s="11"/>
      <c r="H218" s="11"/>
      <c r="I218" s="11"/>
      <c r="J218" s="12" t="str">
        <f>IF(B218="","",MAX(I218,_xlfn.MAXIFS(التمديدات!$C$2:$C$301,التمديدات!$A$2:$A$301,B218)))</f>
        <v/>
      </c>
      <c r="K218" s="7" t="str">
        <f t="shared" si="11"/>
        <v/>
      </c>
      <c r="L218" s="26"/>
      <c r="M218" s="27"/>
      <c r="N218" s="10"/>
      <c r="O218" s="10"/>
      <c r="P218" s="10"/>
      <c r="Q218" s="10"/>
      <c r="R218" s="7" t="str">
        <f ca="1">IF(B218="","",IF(Q218&lt;&gt;"",Q218,IF(H218&gt;TODAY(),"لم يبدأ بعد",IF(J218&lt;TODAY(),"منتهٍ",IF(J218-TODAY()&lt;='القوائم والإعدادات'!$E$2,"قريب الانتهاء","ساري")))))</f>
        <v/>
      </c>
      <c r="S218" s="7" t="str">
        <f t="shared" ca="1" si="12"/>
        <v/>
      </c>
      <c r="T218" s="7" t="str">
        <f ca="1">IF(OR(R218="ساري",R218="قريب الانتهاء"),IF(S218&lt;='القوائم والإعدادات'!$E$4,"عاجل",IF(S218&lt;='القوائم والإعدادات'!$E$3,"خلال 60 يوم",IF(S218&lt;='القوائم والإعدادات'!$E$2,"خلال 90 يوم",""))),"")</f>
        <v/>
      </c>
      <c r="U218" s="7" t="str">
        <f>IF(B218="","",COUNTIF(التمديدات!$A$2:$A$301,B218))</f>
        <v/>
      </c>
      <c r="V218" s="10"/>
      <c r="W218" s="10"/>
      <c r="X218" s="7" t="str">
        <f t="shared" si="13"/>
        <v/>
      </c>
    </row>
    <row r="219" spans="1:24">
      <c r="A219" s="7">
        <v>218</v>
      </c>
      <c r="B219" s="10"/>
      <c r="C219" s="10"/>
      <c r="D219" s="10"/>
      <c r="E219" s="10"/>
      <c r="F219" s="10"/>
      <c r="G219" s="11"/>
      <c r="H219" s="11"/>
      <c r="I219" s="11"/>
      <c r="J219" s="12" t="str">
        <f>IF(B219="","",MAX(I219,_xlfn.MAXIFS(التمديدات!$C$2:$C$301,التمديدات!$A$2:$A$301,B219)))</f>
        <v/>
      </c>
      <c r="K219" s="7" t="str">
        <f t="shared" si="11"/>
        <v/>
      </c>
      <c r="L219" s="26"/>
      <c r="M219" s="27"/>
      <c r="N219" s="10"/>
      <c r="O219" s="10"/>
      <c r="P219" s="10"/>
      <c r="Q219" s="10"/>
      <c r="R219" s="7" t="str">
        <f ca="1">IF(B219="","",IF(Q219&lt;&gt;"",Q219,IF(H219&gt;TODAY(),"لم يبدأ بعد",IF(J219&lt;TODAY(),"منتهٍ",IF(J219-TODAY()&lt;='القوائم والإعدادات'!$E$2,"قريب الانتهاء","ساري")))))</f>
        <v/>
      </c>
      <c r="S219" s="7" t="str">
        <f t="shared" ca="1" si="12"/>
        <v/>
      </c>
      <c r="T219" s="7" t="str">
        <f ca="1">IF(OR(R219="ساري",R219="قريب الانتهاء"),IF(S219&lt;='القوائم والإعدادات'!$E$4,"عاجل",IF(S219&lt;='القوائم والإعدادات'!$E$3,"خلال 60 يوم",IF(S219&lt;='القوائم والإعدادات'!$E$2,"خلال 90 يوم",""))),"")</f>
        <v/>
      </c>
      <c r="U219" s="7" t="str">
        <f>IF(B219="","",COUNTIF(التمديدات!$A$2:$A$301,B219))</f>
        <v/>
      </c>
      <c r="V219" s="10"/>
      <c r="W219" s="10"/>
      <c r="X219" s="7" t="str">
        <f t="shared" si="13"/>
        <v/>
      </c>
    </row>
    <row r="220" spans="1:24">
      <c r="A220" s="7">
        <v>219</v>
      </c>
      <c r="B220" s="10"/>
      <c r="C220" s="10"/>
      <c r="D220" s="10"/>
      <c r="E220" s="10"/>
      <c r="F220" s="10"/>
      <c r="G220" s="11"/>
      <c r="H220" s="11"/>
      <c r="I220" s="11"/>
      <c r="J220" s="12" t="str">
        <f>IF(B220="","",MAX(I220,_xlfn.MAXIFS(التمديدات!$C$2:$C$301,التمديدات!$A$2:$A$301,B220)))</f>
        <v/>
      </c>
      <c r="K220" s="7" t="str">
        <f t="shared" si="11"/>
        <v/>
      </c>
      <c r="L220" s="26"/>
      <c r="M220" s="27"/>
      <c r="N220" s="10"/>
      <c r="O220" s="10"/>
      <c r="P220" s="10"/>
      <c r="Q220" s="10"/>
      <c r="R220" s="7" t="str">
        <f ca="1">IF(B220="","",IF(Q220&lt;&gt;"",Q220,IF(H220&gt;TODAY(),"لم يبدأ بعد",IF(J220&lt;TODAY(),"منتهٍ",IF(J220-TODAY()&lt;='القوائم والإعدادات'!$E$2,"قريب الانتهاء","ساري")))))</f>
        <v/>
      </c>
      <c r="S220" s="7" t="str">
        <f t="shared" ca="1" si="12"/>
        <v/>
      </c>
      <c r="T220" s="7" t="str">
        <f ca="1">IF(OR(R220="ساري",R220="قريب الانتهاء"),IF(S220&lt;='القوائم والإعدادات'!$E$4,"عاجل",IF(S220&lt;='القوائم والإعدادات'!$E$3,"خلال 60 يوم",IF(S220&lt;='القوائم والإعدادات'!$E$2,"خلال 90 يوم",""))),"")</f>
        <v/>
      </c>
      <c r="U220" s="7" t="str">
        <f>IF(B220="","",COUNTIF(التمديدات!$A$2:$A$301,B220))</f>
        <v/>
      </c>
      <c r="V220" s="10"/>
      <c r="W220" s="10"/>
      <c r="X220" s="7" t="str">
        <f t="shared" si="13"/>
        <v/>
      </c>
    </row>
    <row r="221" spans="1:24">
      <c r="A221" s="7">
        <v>220</v>
      </c>
      <c r="B221" s="10"/>
      <c r="C221" s="10"/>
      <c r="D221" s="10"/>
      <c r="E221" s="10"/>
      <c r="F221" s="10"/>
      <c r="G221" s="11"/>
      <c r="H221" s="11"/>
      <c r="I221" s="11"/>
      <c r="J221" s="12" t="str">
        <f>IF(B221="","",MAX(I221,_xlfn.MAXIFS(التمديدات!$C$2:$C$301,التمديدات!$A$2:$A$301,B221)))</f>
        <v/>
      </c>
      <c r="K221" s="7" t="str">
        <f t="shared" si="11"/>
        <v/>
      </c>
      <c r="L221" s="26"/>
      <c r="M221" s="27"/>
      <c r="N221" s="10"/>
      <c r="O221" s="10"/>
      <c r="P221" s="10"/>
      <c r="Q221" s="10"/>
      <c r="R221" s="7" t="str">
        <f ca="1">IF(B221="","",IF(Q221&lt;&gt;"",Q221,IF(H221&gt;TODAY(),"لم يبدأ بعد",IF(J221&lt;TODAY(),"منتهٍ",IF(J221-TODAY()&lt;='القوائم والإعدادات'!$E$2,"قريب الانتهاء","ساري")))))</f>
        <v/>
      </c>
      <c r="S221" s="7" t="str">
        <f t="shared" ca="1" si="12"/>
        <v/>
      </c>
      <c r="T221" s="7" t="str">
        <f ca="1">IF(OR(R221="ساري",R221="قريب الانتهاء"),IF(S221&lt;='القوائم والإعدادات'!$E$4,"عاجل",IF(S221&lt;='القوائم والإعدادات'!$E$3,"خلال 60 يوم",IF(S221&lt;='القوائم والإعدادات'!$E$2,"خلال 90 يوم",""))),"")</f>
        <v/>
      </c>
      <c r="U221" s="7" t="str">
        <f>IF(B221="","",COUNTIF(التمديدات!$A$2:$A$301,B221))</f>
        <v/>
      </c>
      <c r="V221" s="10"/>
      <c r="W221" s="10"/>
      <c r="X221" s="7" t="str">
        <f t="shared" si="13"/>
        <v/>
      </c>
    </row>
    <row r="222" spans="1:24">
      <c r="A222" s="7">
        <v>221</v>
      </c>
      <c r="B222" s="10"/>
      <c r="C222" s="10"/>
      <c r="D222" s="10"/>
      <c r="E222" s="10"/>
      <c r="F222" s="10"/>
      <c r="G222" s="11"/>
      <c r="H222" s="11"/>
      <c r="I222" s="11"/>
      <c r="J222" s="12" t="str">
        <f>IF(B222="","",MAX(I222,_xlfn.MAXIFS(التمديدات!$C$2:$C$301,التمديدات!$A$2:$A$301,B222)))</f>
        <v/>
      </c>
      <c r="K222" s="7" t="str">
        <f t="shared" si="11"/>
        <v/>
      </c>
      <c r="L222" s="26"/>
      <c r="M222" s="27"/>
      <c r="N222" s="10"/>
      <c r="O222" s="10"/>
      <c r="P222" s="10"/>
      <c r="Q222" s="10"/>
      <c r="R222" s="7" t="str">
        <f ca="1">IF(B222="","",IF(Q222&lt;&gt;"",Q222,IF(H222&gt;TODAY(),"لم يبدأ بعد",IF(J222&lt;TODAY(),"منتهٍ",IF(J222-TODAY()&lt;='القوائم والإعدادات'!$E$2,"قريب الانتهاء","ساري")))))</f>
        <v/>
      </c>
      <c r="S222" s="7" t="str">
        <f t="shared" ca="1" si="12"/>
        <v/>
      </c>
      <c r="T222" s="7" t="str">
        <f ca="1">IF(OR(R222="ساري",R222="قريب الانتهاء"),IF(S222&lt;='القوائم والإعدادات'!$E$4,"عاجل",IF(S222&lt;='القوائم والإعدادات'!$E$3,"خلال 60 يوم",IF(S222&lt;='القوائم والإعدادات'!$E$2,"خلال 90 يوم",""))),"")</f>
        <v/>
      </c>
      <c r="U222" s="7" t="str">
        <f>IF(B222="","",COUNTIF(التمديدات!$A$2:$A$301,B222))</f>
        <v/>
      </c>
      <c r="V222" s="10"/>
      <c r="W222" s="10"/>
      <c r="X222" s="7" t="str">
        <f t="shared" si="13"/>
        <v/>
      </c>
    </row>
    <row r="223" spans="1:24">
      <c r="A223" s="7">
        <v>222</v>
      </c>
      <c r="B223" s="10"/>
      <c r="C223" s="10"/>
      <c r="D223" s="10"/>
      <c r="E223" s="10"/>
      <c r="F223" s="10"/>
      <c r="G223" s="11"/>
      <c r="H223" s="11"/>
      <c r="I223" s="11"/>
      <c r="J223" s="12" t="str">
        <f>IF(B223="","",MAX(I223,_xlfn.MAXIFS(التمديدات!$C$2:$C$301,التمديدات!$A$2:$A$301,B223)))</f>
        <v/>
      </c>
      <c r="K223" s="7" t="str">
        <f t="shared" si="11"/>
        <v/>
      </c>
      <c r="L223" s="26"/>
      <c r="M223" s="27"/>
      <c r="N223" s="10"/>
      <c r="O223" s="10"/>
      <c r="P223" s="10"/>
      <c r="Q223" s="10"/>
      <c r="R223" s="7" t="str">
        <f ca="1">IF(B223="","",IF(Q223&lt;&gt;"",Q223,IF(H223&gt;TODAY(),"لم يبدأ بعد",IF(J223&lt;TODAY(),"منتهٍ",IF(J223-TODAY()&lt;='القوائم والإعدادات'!$E$2,"قريب الانتهاء","ساري")))))</f>
        <v/>
      </c>
      <c r="S223" s="7" t="str">
        <f t="shared" ca="1" si="12"/>
        <v/>
      </c>
      <c r="T223" s="7" t="str">
        <f ca="1">IF(OR(R223="ساري",R223="قريب الانتهاء"),IF(S223&lt;='القوائم والإعدادات'!$E$4,"عاجل",IF(S223&lt;='القوائم والإعدادات'!$E$3,"خلال 60 يوم",IF(S223&lt;='القوائم والإعدادات'!$E$2,"خلال 90 يوم",""))),"")</f>
        <v/>
      </c>
      <c r="U223" s="7" t="str">
        <f>IF(B223="","",COUNTIF(التمديدات!$A$2:$A$301,B223))</f>
        <v/>
      </c>
      <c r="V223" s="10"/>
      <c r="W223" s="10"/>
      <c r="X223" s="7" t="str">
        <f t="shared" si="13"/>
        <v/>
      </c>
    </row>
    <row r="224" spans="1:24">
      <c r="A224" s="7">
        <v>223</v>
      </c>
      <c r="B224" s="10"/>
      <c r="C224" s="10"/>
      <c r="D224" s="10"/>
      <c r="E224" s="10"/>
      <c r="F224" s="10"/>
      <c r="G224" s="11"/>
      <c r="H224" s="11"/>
      <c r="I224" s="11"/>
      <c r="J224" s="12" t="str">
        <f>IF(B224="","",MAX(I224,_xlfn.MAXIFS(التمديدات!$C$2:$C$301,التمديدات!$A$2:$A$301,B224)))</f>
        <v/>
      </c>
      <c r="K224" s="7" t="str">
        <f t="shared" si="11"/>
        <v/>
      </c>
      <c r="L224" s="26"/>
      <c r="M224" s="27"/>
      <c r="N224" s="10"/>
      <c r="O224" s="10"/>
      <c r="P224" s="10"/>
      <c r="Q224" s="10"/>
      <c r="R224" s="7" t="str">
        <f ca="1">IF(B224="","",IF(Q224&lt;&gt;"",Q224,IF(H224&gt;TODAY(),"لم يبدأ بعد",IF(J224&lt;TODAY(),"منتهٍ",IF(J224-TODAY()&lt;='القوائم والإعدادات'!$E$2,"قريب الانتهاء","ساري")))))</f>
        <v/>
      </c>
      <c r="S224" s="7" t="str">
        <f t="shared" ca="1" si="12"/>
        <v/>
      </c>
      <c r="T224" s="7" t="str">
        <f ca="1">IF(OR(R224="ساري",R224="قريب الانتهاء"),IF(S224&lt;='القوائم والإعدادات'!$E$4,"عاجل",IF(S224&lt;='القوائم والإعدادات'!$E$3,"خلال 60 يوم",IF(S224&lt;='القوائم والإعدادات'!$E$2,"خلال 90 يوم",""))),"")</f>
        <v/>
      </c>
      <c r="U224" s="7" t="str">
        <f>IF(B224="","",COUNTIF(التمديدات!$A$2:$A$301,B224))</f>
        <v/>
      </c>
      <c r="V224" s="10"/>
      <c r="W224" s="10"/>
      <c r="X224" s="7" t="str">
        <f t="shared" si="13"/>
        <v/>
      </c>
    </row>
    <row r="225" spans="1:24">
      <c r="A225" s="7">
        <v>224</v>
      </c>
      <c r="B225" s="10"/>
      <c r="C225" s="10"/>
      <c r="D225" s="10"/>
      <c r="E225" s="10"/>
      <c r="F225" s="10"/>
      <c r="G225" s="11"/>
      <c r="H225" s="11"/>
      <c r="I225" s="11"/>
      <c r="J225" s="12" t="str">
        <f>IF(B225="","",MAX(I225,_xlfn.MAXIFS(التمديدات!$C$2:$C$301,التمديدات!$A$2:$A$301,B225)))</f>
        <v/>
      </c>
      <c r="K225" s="7" t="str">
        <f t="shared" si="11"/>
        <v/>
      </c>
      <c r="L225" s="26"/>
      <c r="M225" s="27"/>
      <c r="N225" s="10"/>
      <c r="O225" s="10"/>
      <c r="P225" s="10"/>
      <c r="Q225" s="10"/>
      <c r="R225" s="7" t="str">
        <f ca="1">IF(B225="","",IF(Q225&lt;&gt;"",Q225,IF(H225&gt;TODAY(),"لم يبدأ بعد",IF(J225&lt;TODAY(),"منتهٍ",IF(J225-TODAY()&lt;='القوائم والإعدادات'!$E$2,"قريب الانتهاء","ساري")))))</f>
        <v/>
      </c>
      <c r="S225" s="7" t="str">
        <f t="shared" ca="1" si="12"/>
        <v/>
      </c>
      <c r="T225" s="7" t="str">
        <f ca="1">IF(OR(R225="ساري",R225="قريب الانتهاء"),IF(S225&lt;='القوائم والإعدادات'!$E$4,"عاجل",IF(S225&lt;='القوائم والإعدادات'!$E$3,"خلال 60 يوم",IF(S225&lt;='القوائم والإعدادات'!$E$2,"خلال 90 يوم",""))),"")</f>
        <v/>
      </c>
      <c r="U225" s="7" t="str">
        <f>IF(B225="","",COUNTIF(التمديدات!$A$2:$A$301,B225))</f>
        <v/>
      </c>
      <c r="V225" s="10"/>
      <c r="W225" s="10"/>
      <c r="X225" s="7" t="str">
        <f t="shared" si="13"/>
        <v/>
      </c>
    </row>
    <row r="226" spans="1:24">
      <c r="A226" s="7">
        <v>225</v>
      </c>
      <c r="B226" s="10"/>
      <c r="C226" s="10"/>
      <c r="D226" s="10"/>
      <c r="E226" s="10"/>
      <c r="F226" s="10"/>
      <c r="G226" s="11"/>
      <c r="H226" s="11"/>
      <c r="I226" s="11"/>
      <c r="J226" s="12" t="str">
        <f>IF(B226="","",MAX(I226,_xlfn.MAXIFS(التمديدات!$C$2:$C$301,التمديدات!$A$2:$A$301,B226)))</f>
        <v/>
      </c>
      <c r="K226" s="7" t="str">
        <f t="shared" si="11"/>
        <v/>
      </c>
      <c r="L226" s="26"/>
      <c r="M226" s="27"/>
      <c r="N226" s="10"/>
      <c r="O226" s="10"/>
      <c r="P226" s="10"/>
      <c r="Q226" s="10"/>
      <c r="R226" s="7" t="str">
        <f ca="1">IF(B226="","",IF(Q226&lt;&gt;"",Q226,IF(H226&gt;TODAY(),"لم يبدأ بعد",IF(J226&lt;TODAY(),"منتهٍ",IF(J226-TODAY()&lt;='القوائم والإعدادات'!$E$2,"قريب الانتهاء","ساري")))))</f>
        <v/>
      </c>
      <c r="S226" s="7" t="str">
        <f t="shared" ca="1" si="12"/>
        <v/>
      </c>
      <c r="T226" s="7" t="str">
        <f ca="1">IF(OR(R226="ساري",R226="قريب الانتهاء"),IF(S226&lt;='القوائم والإعدادات'!$E$4,"عاجل",IF(S226&lt;='القوائم والإعدادات'!$E$3,"خلال 60 يوم",IF(S226&lt;='القوائم والإعدادات'!$E$2,"خلال 90 يوم",""))),"")</f>
        <v/>
      </c>
      <c r="U226" s="7" t="str">
        <f>IF(B226="","",COUNTIF(التمديدات!$A$2:$A$301,B226))</f>
        <v/>
      </c>
      <c r="V226" s="10"/>
      <c r="W226" s="10"/>
      <c r="X226" s="7" t="str">
        <f t="shared" si="13"/>
        <v/>
      </c>
    </row>
    <row r="227" spans="1:24">
      <c r="A227" s="7">
        <v>226</v>
      </c>
      <c r="B227" s="10"/>
      <c r="C227" s="10"/>
      <c r="D227" s="10"/>
      <c r="E227" s="10"/>
      <c r="F227" s="10"/>
      <c r="G227" s="11"/>
      <c r="H227" s="11"/>
      <c r="I227" s="11"/>
      <c r="J227" s="12" t="str">
        <f>IF(B227="","",MAX(I227,_xlfn.MAXIFS(التمديدات!$C$2:$C$301,التمديدات!$A$2:$A$301,B227)))</f>
        <v/>
      </c>
      <c r="K227" s="7" t="str">
        <f t="shared" si="11"/>
        <v/>
      </c>
      <c r="L227" s="26"/>
      <c r="M227" s="27"/>
      <c r="N227" s="10"/>
      <c r="O227" s="10"/>
      <c r="P227" s="10"/>
      <c r="Q227" s="10"/>
      <c r="R227" s="7" t="str">
        <f ca="1">IF(B227="","",IF(Q227&lt;&gt;"",Q227,IF(H227&gt;TODAY(),"لم يبدأ بعد",IF(J227&lt;TODAY(),"منتهٍ",IF(J227-TODAY()&lt;='القوائم والإعدادات'!$E$2,"قريب الانتهاء","ساري")))))</f>
        <v/>
      </c>
      <c r="S227" s="7" t="str">
        <f t="shared" ca="1" si="12"/>
        <v/>
      </c>
      <c r="T227" s="7" t="str">
        <f ca="1">IF(OR(R227="ساري",R227="قريب الانتهاء"),IF(S227&lt;='القوائم والإعدادات'!$E$4,"عاجل",IF(S227&lt;='القوائم والإعدادات'!$E$3,"خلال 60 يوم",IF(S227&lt;='القوائم والإعدادات'!$E$2,"خلال 90 يوم",""))),"")</f>
        <v/>
      </c>
      <c r="U227" s="7" t="str">
        <f>IF(B227="","",COUNTIF(التمديدات!$A$2:$A$301,B227))</f>
        <v/>
      </c>
      <c r="V227" s="10"/>
      <c r="W227" s="10"/>
      <c r="X227" s="7" t="str">
        <f t="shared" si="13"/>
        <v/>
      </c>
    </row>
    <row r="228" spans="1:24">
      <c r="A228" s="7">
        <v>227</v>
      </c>
      <c r="B228" s="10"/>
      <c r="C228" s="10"/>
      <c r="D228" s="10"/>
      <c r="E228" s="10"/>
      <c r="F228" s="10"/>
      <c r="G228" s="11"/>
      <c r="H228" s="11"/>
      <c r="I228" s="11"/>
      <c r="J228" s="12" t="str">
        <f>IF(B228="","",MAX(I228,_xlfn.MAXIFS(التمديدات!$C$2:$C$301,التمديدات!$A$2:$A$301,B228)))</f>
        <v/>
      </c>
      <c r="K228" s="7" t="str">
        <f t="shared" si="11"/>
        <v/>
      </c>
      <c r="L228" s="26"/>
      <c r="M228" s="27"/>
      <c r="N228" s="10"/>
      <c r="O228" s="10"/>
      <c r="P228" s="10"/>
      <c r="Q228" s="10"/>
      <c r="R228" s="7" t="str">
        <f ca="1">IF(B228="","",IF(Q228&lt;&gt;"",Q228,IF(H228&gt;TODAY(),"لم يبدأ بعد",IF(J228&lt;TODAY(),"منتهٍ",IF(J228-TODAY()&lt;='القوائم والإعدادات'!$E$2,"قريب الانتهاء","ساري")))))</f>
        <v/>
      </c>
      <c r="S228" s="7" t="str">
        <f t="shared" ca="1" si="12"/>
        <v/>
      </c>
      <c r="T228" s="7" t="str">
        <f ca="1">IF(OR(R228="ساري",R228="قريب الانتهاء"),IF(S228&lt;='القوائم والإعدادات'!$E$4,"عاجل",IF(S228&lt;='القوائم والإعدادات'!$E$3,"خلال 60 يوم",IF(S228&lt;='القوائم والإعدادات'!$E$2,"خلال 90 يوم",""))),"")</f>
        <v/>
      </c>
      <c r="U228" s="7" t="str">
        <f>IF(B228="","",COUNTIF(التمديدات!$A$2:$A$301,B228))</f>
        <v/>
      </c>
      <c r="V228" s="10"/>
      <c r="W228" s="10"/>
      <c r="X228" s="7" t="str">
        <f t="shared" si="13"/>
        <v/>
      </c>
    </row>
    <row r="229" spans="1:24">
      <c r="A229" s="7">
        <v>228</v>
      </c>
      <c r="B229" s="10"/>
      <c r="C229" s="10"/>
      <c r="D229" s="10"/>
      <c r="E229" s="10"/>
      <c r="F229" s="10"/>
      <c r="G229" s="11"/>
      <c r="H229" s="11"/>
      <c r="I229" s="11"/>
      <c r="J229" s="12" t="str">
        <f>IF(B229="","",MAX(I229,_xlfn.MAXIFS(التمديدات!$C$2:$C$301,التمديدات!$A$2:$A$301,B229)))</f>
        <v/>
      </c>
      <c r="K229" s="7" t="str">
        <f t="shared" si="11"/>
        <v/>
      </c>
      <c r="L229" s="26"/>
      <c r="M229" s="27"/>
      <c r="N229" s="10"/>
      <c r="O229" s="10"/>
      <c r="P229" s="10"/>
      <c r="Q229" s="10"/>
      <c r="R229" s="7" t="str">
        <f ca="1">IF(B229="","",IF(Q229&lt;&gt;"",Q229,IF(H229&gt;TODAY(),"لم يبدأ بعد",IF(J229&lt;TODAY(),"منتهٍ",IF(J229-TODAY()&lt;='القوائم والإعدادات'!$E$2,"قريب الانتهاء","ساري")))))</f>
        <v/>
      </c>
      <c r="S229" s="7" t="str">
        <f t="shared" ca="1" si="12"/>
        <v/>
      </c>
      <c r="T229" s="7" t="str">
        <f ca="1">IF(OR(R229="ساري",R229="قريب الانتهاء"),IF(S229&lt;='القوائم والإعدادات'!$E$4,"عاجل",IF(S229&lt;='القوائم والإعدادات'!$E$3,"خلال 60 يوم",IF(S229&lt;='القوائم والإعدادات'!$E$2,"خلال 90 يوم",""))),"")</f>
        <v/>
      </c>
      <c r="U229" s="7" t="str">
        <f>IF(B229="","",COUNTIF(التمديدات!$A$2:$A$301,B229))</f>
        <v/>
      </c>
      <c r="V229" s="10"/>
      <c r="W229" s="10"/>
      <c r="X229" s="7" t="str">
        <f t="shared" si="13"/>
        <v/>
      </c>
    </row>
    <row r="230" spans="1:24">
      <c r="A230" s="7">
        <v>229</v>
      </c>
      <c r="B230" s="10"/>
      <c r="C230" s="10"/>
      <c r="D230" s="10"/>
      <c r="E230" s="10"/>
      <c r="F230" s="10"/>
      <c r="G230" s="11"/>
      <c r="H230" s="11"/>
      <c r="I230" s="11"/>
      <c r="J230" s="12" t="str">
        <f>IF(B230="","",MAX(I230,_xlfn.MAXIFS(التمديدات!$C$2:$C$301,التمديدات!$A$2:$A$301,B230)))</f>
        <v/>
      </c>
      <c r="K230" s="7" t="str">
        <f t="shared" si="11"/>
        <v/>
      </c>
      <c r="L230" s="26"/>
      <c r="M230" s="27"/>
      <c r="N230" s="10"/>
      <c r="O230" s="10"/>
      <c r="P230" s="10"/>
      <c r="Q230" s="10"/>
      <c r="R230" s="7" t="str">
        <f ca="1">IF(B230="","",IF(Q230&lt;&gt;"",Q230,IF(H230&gt;TODAY(),"لم يبدأ بعد",IF(J230&lt;TODAY(),"منتهٍ",IF(J230-TODAY()&lt;='القوائم والإعدادات'!$E$2,"قريب الانتهاء","ساري")))))</f>
        <v/>
      </c>
      <c r="S230" s="7" t="str">
        <f t="shared" ca="1" si="12"/>
        <v/>
      </c>
      <c r="T230" s="7" t="str">
        <f ca="1">IF(OR(R230="ساري",R230="قريب الانتهاء"),IF(S230&lt;='القوائم والإعدادات'!$E$4,"عاجل",IF(S230&lt;='القوائم والإعدادات'!$E$3,"خلال 60 يوم",IF(S230&lt;='القوائم والإعدادات'!$E$2,"خلال 90 يوم",""))),"")</f>
        <v/>
      </c>
      <c r="U230" s="7" t="str">
        <f>IF(B230="","",COUNTIF(التمديدات!$A$2:$A$301,B230))</f>
        <v/>
      </c>
      <c r="V230" s="10"/>
      <c r="W230" s="10"/>
      <c r="X230" s="7" t="str">
        <f t="shared" si="13"/>
        <v/>
      </c>
    </row>
    <row r="231" spans="1:24">
      <c r="A231" s="7">
        <v>230</v>
      </c>
      <c r="B231" s="10"/>
      <c r="C231" s="10"/>
      <c r="D231" s="10"/>
      <c r="E231" s="10"/>
      <c r="F231" s="10"/>
      <c r="G231" s="11"/>
      <c r="H231" s="11"/>
      <c r="I231" s="11"/>
      <c r="J231" s="12" t="str">
        <f>IF(B231="","",MAX(I231,_xlfn.MAXIFS(التمديدات!$C$2:$C$301,التمديدات!$A$2:$A$301,B231)))</f>
        <v/>
      </c>
      <c r="K231" s="7" t="str">
        <f t="shared" si="11"/>
        <v/>
      </c>
      <c r="L231" s="26"/>
      <c r="M231" s="27"/>
      <c r="N231" s="10"/>
      <c r="O231" s="10"/>
      <c r="P231" s="10"/>
      <c r="Q231" s="10"/>
      <c r="R231" s="7" t="str">
        <f ca="1">IF(B231="","",IF(Q231&lt;&gt;"",Q231,IF(H231&gt;TODAY(),"لم يبدأ بعد",IF(J231&lt;TODAY(),"منتهٍ",IF(J231-TODAY()&lt;='القوائم والإعدادات'!$E$2,"قريب الانتهاء","ساري")))))</f>
        <v/>
      </c>
      <c r="S231" s="7" t="str">
        <f t="shared" ca="1" si="12"/>
        <v/>
      </c>
      <c r="T231" s="7" t="str">
        <f ca="1">IF(OR(R231="ساري",R231="قريب الانتهاء"),IF(S231&lt;='القوائم والإعدادات'!$E$4,"عاجل",IF(S231&lt;='القوائم والإعدادات'!$E$3,"خلال 60 يوم",IF(S231&lt;='القوائم والإعدادات'!$E$2,"خلال 90 يوم",""))),"")</f>
        <v/>
      </c>
      <c r="U231" s="7" t="str">
        <f>IF(B231="","",COUNTIF(التمديدات!$A$2:$A$301,B231))</f>
        <v/>
      </c>
      <c r="V231" s="10"/>
      <c r="W231" s="10"/>
      <c r="X231" s="7" t="str">
        <f t="shared" si="13"/>
        <v/>
      </c>
    </row>
    <row r="232" spans="1:24">
      <c r="A232" s="7">
        <v>231</v>
      </c>
      <c r="B232" s="10"/>
      <c r="C232" s="10"/>
      <c r="D232" s="10"/>
      <c r="E232" s="10"/>
      <c r="F232" s="10"/>
      <c r="G232" s="11"/>
      <c r="H232" s="11"/>
      <c r="I232" s="11"/>
      <c r="J232" s="12" t="str">
        <f>IF(B232="","",MAX(I232,_xlfn.MAXIFS(التمديدات!$C$2:$C$301,التمديدات!$A$2:$A$301,B232)))</f>
        <v/>
      </c>
      <c r="K232" s="7" t="str">
        <f t="shared" si="11"/>
        <v/>
      </c>
      <c r="L232" s="26"/>
      <c r="M232" s="27"/>
      <c r="N232" s="10"/>
      <c r="O232" s="10"/>
      <c r="P232" s="10"/>
      <c r="Q232" s="10"/>
      <c r="R232" s="7" t="str">
        <f ca="1">IF(B232="","",IF(Q232&lt;&gt;"",Q232,IF(H232&gt;TODAY(),"لم يبدأ بعد",IF(J232&lt;TODAY(),"منتهٍ",IF(J232-TODAY()&lt;='القوائم والإعدادات'!$E$2,"قريب الانتهاء","ساري")))))</f>
        <v/>
      </c>
      <c r="S232" s="7" t="str">
        <f t="shared" ca="1" si="12"/>
        <v/>
      </c>
      <c r="T232" s="7" t="str">
        <f ca="1">IF(OR(R232="ساري",R232="قريب الانتهاء"),IF(S232&lt;='القوائم والإعدادات'!$E$4,"عاجل",IF(S232&lt;='القوائم والإعدادات'!$E$3,"خلال 60 يوم",IF(S232&lt;='القوائم والإعدادات'!$E$2,"خلال 90 يوم",""))),"")</f>
        <v/>
      </c>
      <c r="U232" s="7" t="str">
        <f>IF(B232="","",COUNTIF(التمديدات!$A$2:$A$301,B232))</f>
        <v/>
      </c>
      <c r="V232" s="10"/>
      <c r="W232" s="10"/>
      <c r="X232" s="7" t="str">
        <f t="shared" si="13"/>
        <v/>
      </c>
    </row>
    <row r="233" spans="1:24">
      <c r="A233" s="7">
        <v>232</v>
      </c>
      <c r="B233" s="10"/>
      <c r="C233" s="10"/>
      <c r="D233" s="10"/>
      <c r="E233" s="10"/>
      <c r="F233" s="10"/>
      <c r="G233" s="11"/>
      <c r="H233" s="11"/>
      <c r="I233" s="11"/>
      <c r="J233" s="12" t="str">
        <f>IF(B233="","",MAX(I233,_xlfn.MAXIFS(التمديدات!$C$2:$C$301,التمديدات!$A$2:$A$301,B233)))</f>
        <v/>
      </c>
      <c r="K233" s="7" t="str">
        <f t="shared" si="11"/>
        <v/>
      </c>
      <c r="L233" s="26"/>
      <c r="M233" s="27"/>
      <c r="N233" s="10"/>
      <c r="O233" s="10"/>
      <c r="P233" s="10"/>
      <c r="Q233" s="10"/>
      <c r="R233" s="7" t="str">
        <f ca="1">IF(B233="","",IF(Q233&lt;&gt;"",Q233,IF(H233&gt;TODAY(),"لم يبدأ بعد",IF(J233&lt;TODAY(),"منتهٍ",IF(J233-TODAY()&lt;='القوائم والإعدادات'!$E$2,"قريب الانتهاء","ساري")))))</f>
        <v/>
      </c>
      <c r="S233" s="7" t="str">
        <f t="shared" ca="1" si="12"/>
        <v/>
      </c>
      <c r="T233" s="7" t="str">
        <f ca="1">IF(OR(R233="ساري",R233="قريب الانتهاء"),IF(S233&lt;='القوائم والإعدادات'!$E$4,"عاجل",IF(S233&lt;='القوائم والإعدادات'!$E$3,"خلال 60 يوم",IF(S233&lt;='القوائم والإعدادات'!$E$2,"خلال 90 يوم",""))),"")</f>
        <v/>
      </c>
      <c r="U233" s="7" t="str">
        <f>IF(B233="","",COUNTIF(التمديدات!$A$2:$A$301,B233))</f>
        <v/>
      </c>
      <c r="V233" s="10"/>
      <c r="W233" s="10"/>
      <c r="X233" s="7" t="str">
        <f t="shared" si="13"/>
        <v/>
      </c>
    </row>
    <row r="234" spans="1:24">
      <c r="A234" s="7">
        <v>233</v>
      </c>
      <c r="B234" s="10"/>
      <c r="C234" s="10"/>
      <c r="D234" s="10"/>
      <c r="E234" s="10"/>
      <c r="F234" s="10"/>
      <c r="G234" s="11"/>
      <c r="H234" s="11"/>
      <c r="I234" s="11"/>
      <c r="J234" s="12" t="str">
        <f>IF(B234="","",MAX(I234,_xlfn.MAXIFS(التمديدات!$C$2:$C$301,التمديدات!$A$2:$A$301,B234)))</f>
        <v/>
      </c>
      <c r="K234" s="7" t="str">
        <f t="shared" si="11"/>
        <v/>
      </c>
      <c r="L234" s="26"/>
      <c r="M234" s="27"/>
      <c r="N234" s="10"/>
      <c r="O234" s="10"/>
      <c r="P234" s="10"/>
      <c r="Q234" s="10"/>
      <c r="R234" s="7" t="str">
        <f ca="1">IF(B234="","",IF(Q234&lt;&gt;"",Q234,IF(H234&gt;TODAY(),"لم يبدأ بعد",IF(J234&lt;TODAY(),"منتهٍ",IF(J234-TODAY()&lt;='القوائم والإعدادات'!$E$2,"قريب الانتهاء","ساري")))))</f>
        <v/>
      </c>
      <c r="S234" s="7" t="str">
        <f t="shared" ca="1" si="12"/>
        <v/>
      </c>
      <c r="T234" s="7" t="str">
        <f ca="1">IF(OR(R234="ساري",R234="قريب الانتهاء"),IF(S234&lt;='القوائم والإعدادات'!$E$4,"عاجل",IF(S234&lt;='القوائم والإعدادات'!$E$3,"خلال 60 يوم",IF(S234&lt;='القوائم والإعدادات'!$E$2,"خلال 90 يوم",""))),"")</f>
        <v/>
      </c>
      <c r="U234" s="7" t="str">
        <f>IF(B234="","",COUNTIF(التمديدات!$A$2:$A$301,B234))</f>
        <v/>
      </c>
      <c r="V234" s="10"/>
      <c r="W234" s="10"/>
      <c r="X234" s="7" t="str">
        <f t="shared" si="13"/>
        <v/>
      </c>
    </row>
    <row r="235" spans="1:24">
      <c r="A235" s="7">
        <v>234</v>
      </c>
      <c r="B235" s="10"/>
      <c r="C235" s="10"/>
      <c r="D235" s="10"/>
      <c r="E235" s="10"/>
      <c r="F235" s="10"/>
      <c r="G235" s="11"/>
      <c r="H235" s="11"/>
      <c r="I235" s="11"/>
      <c r="J235" s="12" t="str">
        <f>IF(B235="","",MAX(I235,_xlfn.MAXIFS(التمديدات!$C$2:$C$301,التمديدات!$A$2:$A$301,B235)))</f>
        <v/>
      </c>
      <c r="K235" s="7" t="str">
        <f t="shared" si="11"/>
        <v/>
      </c>
      <c r="L235" s="26"/>
      <c r="M235" s="27"/>
      <c r="N235" s="10"/>
      <c r="O235" s="10"/>
      <c r="P235" s="10"/>
      <c r="Q235" s="10"/>
      <c r="R235" s="7" t="str">
        <f ca="1">IF(B235="","",IF(Q235&lt;&gt;"",Q235,IF(H235&gt;TODAY(),"لم يبدأ بعد",IF(J235&lt;TODAY(),"منتهٍ",IF(J235-TODAY()&lt;='القوائم والإعدادات'!$E$2,"قريب الانتهاء","ساري")))))</f>
        <v/>
      </c>
      <c r="S235" s="7" t="str">
        <f t="shared" ca="1" si="12"/>
        <v/>
      </c>
      <c r="T235" s="7" t="str">
        <f ca="1">IF(OR(R235="ساري",R235="قريب الانتهاء"),IF(S235&lt;='القوائم والإعدادات'!$E$4,"عاجل",IF(S235&lt;='القوائم والإعدادات'!$E$3,"خلال 60 يوم",IF(S235&lt;='القوائم والإعدادات'!$E$2,"خلال 90 يوم",""))),"")</f>
        <v/>
      </c>
      <c r="U235" s="7" t="str">
        <f>IF(B235="","",COUNTIF(التمديدات!$A$2:$A$301,B235))</f>
        <v/>
      </c>
      <c r="V235" s="10"/>
      <c r="W235" s="10"/>
      <c r="X235" s="7" t="str">
        <f t="shared" si="13"/>
        <v/>
      </c>
    </row>
    <row r="236" spans="1:24">
      <c r="A236" s="7">
        <v>235</v>
      </c>
      <c r="B236" s="10"/>
      <c r="C236" s="10"/>
      <c r="D236" s="10"/>
      <c r="E236" s="10"/>
      <c r="F236" s="10"/>
      <c r="G236" s="11"/>
      <c r="H236" s="11"/>
      <c r="I236" s="11"/>
      <c r="J236" s="12" t="str">
        <f>IF(B236="","",MAX(I236,_xlfn.MAXIFS(التمديدات!$C$2:$C$301,التمديدات!$A$2:$A$301,B236)))</f>
        <v/>
      </c>
      <c r="K236" s="7" t="str">
        <f t="shared" si="11"/>
        <v/>
      </c>
      <c r="L236" s="26"/>
      <c r="M236" s="27"/>
      <c r="N236" s="10"/>
      <c r="O236" s="10"/>
      <c r="P236" s="10"/>
      <c r="Q236" s="10"/>
      <c r="R236" s="7" t="str">
        <f ca="1">IF(B236="","",IF(Q236&lt;&gt;"",Q236,IF(H236&gt;TODAY(),"لم يبدأ بعد",IF(J236&lt;TODAY(),"منتهٍ",IF(J236-TODAY()&lt;='القوائم والإعدادات'!$E$2,"قريب الانتهاء","ساري")))))</f>
        <v/>
      </c>
      <c r="S236" s="7" t="str">
        <f t="shared" ca="1" si="12"/>
        <v/>
      </c>
      <c r="T236" s="7" t="str">
        <f ca="1">IF(OR(R236="ساري",R236="قريب الانتهاء"),IF(S236&lt;='القوائم والإعدادات'!$E$4,"عاجل",IF(S236&lt;='القوائم والإعدادات'!$E$3,"خلال 60 يوم",IF(S236&lt;='القوائم والإعدادات'!$E$2,"خلال 90 يوم",""))),"")</f>
        <v/>
      </c>
      <c r="U236" s="7" t="str">
        <f>IF(B236="","",COUNTIF(التمديدات!$A$2:$A$301,B236))</f>
        <v/>
      </c>
      <c r="V236" s="10"/>
      <c r="W236" s="10"/>
      <c r="X236" s="7" t="str">
        <f t="shared" si="13"/>
        <v/>
      </c>
    </row>
    <row r="237" spans="1:24">
      <c r="A237" s="7">
        <v>236</v>
      </c>
      <c r="B237" s="10"/>
      <c r="C237" s="10"/>
      <c r="D237" s="10"/>
      <c r="E237" s="10"/>
      <c r="F237" s="10"/>
      <c r="G237" s="11"/>
      <c r="H237" s="11"/>
      <c r="I237" s="11"/>
      <c r="J237" s="12" t="str">
        <f>IF(B237="","",MAX(I237,_xlfn.MAXIFS(التمديدات!$C$2:$C$301,التمديدات!$A$2:$A$301,B237)))</f>
        <v/>
      </c>
      <c r="K237" s="7" t="str">
        <f t="shared" si="11"/>
        <v/>
      </c>
      <c r="L237" s="26"/>
      <c r="M237" s="27"/>
      <c r="N237" s="10"/>
      <c r="O237" s="10"/>
      <c r="P237" s="10"/>
      <c r="Q237" s="10"/>
      <c r="R237" s="7" t="str">
        <f ca="1">IF(B237="","",IF(Q237&lt;&gt;"",Q237,IF(H237&gt;TODAY(),"لم يبدأ بعد",IF(J237&lt;TODAY(),"منتهٍ",IF(J237-TODAY()&lt;='القوائم والإعدادات'!$E$2,"قريب الانتهاء","ساري")))))</f>
        <v/>
      </c>
      <c r="S237" s="7" t="str">
        <f t="shared" ca="1" si="12"/>
        <v/>
      </c>
      <c r="T237" s="7" t="str">
        <f ca="1">IF(OR(R237="ساري",R237="قريب الانتهاء"),IF(S237&lt;='القوائم والإعدادات'!$E$4,"عاجل",IF(S237&lt;='القوائم والإعدادات'!$E$3,"خلال 60 يوم",IF(S237&lt;='القوائم والإعدادات'!$E$2,"خلال 90 يوم",""))),"")</f>
        <v/>
      </c>
      <c r="U237" s="7" t="str">
        <f>IF(B237="","",COUNTIF(التمديدات!$A$2:$A$301,B237))</f>
        <v/>
      </c>
      <c r="V237" s="10"/>
      <c r="W237" s="10"/>
      <c r="X237" s="7" t="str">
        <f t="shared" si="13"/>
        <v/>
      </c>
    </row>
    <row r="238" spans="1:24">
      <c r="A238" s="7">
        <v>237</v>
      </c>
      <c r="B238" s="10"/>
      <c r="C238" s="10"/>
      <c r="D238" s="10"/>
      <c r="E238" s="10"/>
      <c r="F238" s="10"/>
      <c r="G238" s="11"/>
      <c r="H238" s="11"/>
      <c r="I238" s="11"/>
      <c r="J238" s="12" t="str">
        <f>IF(B238="","",MAX(I238,_xlfn.MAXIFS(التمديدات!$C$2:$C$301,التمديدات!$A$2:$A$301,B238)))</f>
        <v/>
      </c>
      <c r="K238" s="7" t="str">
        <f t="shared" si="11"/>
        <v/>
      </c>
      <c r="L238" s="26"/>
      <c r="M238" s="27"/>
      <c r="N238" s="10"/>
      <c r="O238" s="10"/>
      <c r="P238" s="10"/>
      <c r="Q238" s="10"/>
      <c r="R238" s="7" t="str">
        <f ca="1">IF(B238="","",IF(Q238&lt;&gt;"",Q238,IF(H238&gt;TODAY(),"لم يبدأ بعد",IF(J238&lt;TODAY(),"منتهٍ",IF(J238-TODAY()&lt;='القوائم والإعدادات'!$E$2,"قريب الانتهاء","ساري")))))</f>
        <v/>
      </c>
      <c r="S238" s="7" t="str">
        <f t="shared" ca="1" si="12"/>
        <v/>
      </c>
      <c r="T238" s="7" t="str">
        <f ca="1">IF(OR(R238="ساري",R238="قريب الانتهاء"),IF(S238&lt;='القوائم والإعدادات'!$E$4,"عاجل",IF(S238&lt;='القوائم والإعدادات'!$E$3,"خلال 60 يوم",IF(S238&lt;='القوائم والإعدادات'!$E$2,"خلال 90 يوم",""))),"")</f>
        <v/>
      </c>
      <c r="U238" s="7" t="str">
        <f>IF(B238="","",COUNTIF(التمديدات!$A$2:$A$301,B238))</f>
        <v/>
      </c>
      <c r="V238" s="10"/>
      <c r="W238" s="10"/>
      <c r="X238" s="7" t="str">
        <f t="shared" si="13"/>
        <v/>
      </c>
    </row>
    <row r="239" spans="1:24">
      <c r="A239" s="7">
        <v>238</v>
      </c>
      <c r="B239" s="10"/>
      <c r="C239" s="10"/>
      <c r="D239" s="10"/>
      <c r="E239" s="10"/>
      <c r="F239" s="10"/>
      <c r="G239" s="11"/>
      <c r="H239" s="11"/>
      <c r="I239" s="11"/>
      <c r="J239" s="12" t="str">
        <f>IF(B239="","",MAX(I239,_xlfn.MAXIFS(التمديدات!$C$2:$C$301,التمديدات!$A$2:$A$301,B239)))</f>
        <v/>
      </c>
      <c r="K239" s="7" t="str">
        <f t="shared" si="11"/>
        <v/>
      </c>
      <c r="L239" s="26"/>
      <c r="M239" s="27"/>
      <c r="N239" s="10"/>
      <c r="O239" s="10"/>
      <c r="P239" s="10"/>
      <c r="Q239" s="10"/>
      <c r="R239" s="7" t="str">
        <f ca="1">IF(B239="","",IF(Q239&lt;&gt;"",Q239,IF(H239&gt;TODAY(),"لم يبدأ بعد",IF(J239&lt;TODAY(),"منتهٍ",IF(J239-TODAY()&lt;='القوائم والإعدادات'!$E$2,"قريب الانتهاء","ساري")))))</f>
        <v/>
      </c>
      <c r="S239" s="7" t="str">
        <f t="shared" ca="1" si="12"/>
        <v/>
      </c>
      <c r="T239" s="7" t="str">
        <f ca="1">IF(OR(R239="ساري",R239="قريب الانتهاء"),IF(S239&lt;='القوائم والإعدادات'!$E$4,"عاجل",IF(S239&lt;='القوائم والإعدادات'!$E$3,"خلال 60 يوم",IF(S239&lt;='القوائم والإعدادات'!$E$2,"خلال 90 يوم",""))),"")</f>
        <v/>
      </c>
      <c r="U239" s="7" t="str">
        <f>IF(B239="","",COUNTIF(التمديدات!$A$2:$A$301,B239))</f>
        <v/>
      </c>
      <c r="V239" s="10"/>
      <c r="W239" s="10"/>
      <c r="X239" s="7" t="str">
        <f t="shared" si="13"/>
        <v/>
      </c>
    </row>
    <row r="240" spans="1:24">
      <c r="A240" s="7">
        <v>239</v>
      </c>
      <c r="B240" s="10"/>
      <c r="C240" s="10"/>
      <c r="D240" s="10"/>
      <c r="E240" s="10"/>
      <c r="F240" s="10"/>
      <c r="G240" s="11"/>
      <c r="H240" s="11"/>
      <c r="I240" s="11"/>
      <c r="J240" s="12" t="str">
        <f>IF(B240="","",MAX(I240,_xlfn.MAXIFS(التمديدات!$C$2:$C$301,التمديدات!$A$2:$A$301,B240)))</f>
        <v/>
      </c>
      <c r="K240" s="7" t="str">
        <f t="shared" si="11"/>
        <v/>
      </c>
      <c r="L240" s="26"/>
      <c r="M240" s="27"/>
      <c r="N240" s="10"/>
      <c r="O240" s="10"/>
      <c r="P240" s="10"/>
      <c r="Q240" s="10"/>
      <c r="R240" s="7" t="str">
        <f ca="1">IF(B240="","",IF(Q240&lt;&gt;"",Q240,IF(H240&gt;TODAY(),"لم يبدأ بعد",IF(J240&lt;TODAY(),"منتهٍ",IF(J240-TODAY()&lt;='القوائم والإعدادات'!$E$2,"قريب الانتهاء","ساري")))))</f>
        <v/>
      </c>
      <c r="S240" s="7" t="str">
        <f t="shared" ca="1" si="12"/>
        <v/>
      </c>
      <c r="T240" s="7" t="str">
        <f ca="1">IF(OR(R240="ساري",R240="قريب الانتهاء"),IF(S240&lt;='القوائم والإعدادات'!$E$4,"عاجل",IF(S240&lt;='القوائم والإعدادات'!$E$3,"خلال 60 يوم",IF(S240&lt;='القوائم والإعدادات'!$E$2,"خلال 90 يوم",""))),"")</f>
        <v/>
      </c>
      <c r="U240" s="7" t="str">
        <f>IF(B240="","",COUNTIF(التمديدات!$A$2:$A$301,B240))</f>
        <v/>
      </c>
      <c r="V240" s="10"/>
      <c r="W240" s="10"/>
      <c r="X240" s="7" t="str">
        <f t="shared" si="13"/>
        <v/>
      </c>
    </row>
    <row r="241" spans="1:24">
      <c r="A241" s="7">
        <v>240</v>
      </c>
      <c r="B241" s="10"/>
      <c r="C241" s="10"/>
      <c r="D241" s="10"/>
      <c r="E241" s="10"/>
      <c r="F241" s="10"/>
      <c r="G241" s="11"/>
      <c r="H241" s="11"/>
      <c r="I241" s="11"/>
      <c r="J241" s="12" t="str">
        <f>IF(B241="","",MAX(I241,_xlfn.MAXIFS(التمديدات!$C$2:$C$301,التمديدات!$A$2:$A$301,B241)))</f>
        <v/>
      </c>
      <c r="K241" s="7" t="str">
        <f t="shared" si="11"/>
        <v/>
      </c>
      <c r="L241" s="26"/>
      <c r="M241" s="27"/>
      <c r="N241" s="10"/>
      <c r="O241" s="10"/>
      <c r="P241" s="10"/>
      <c r="Q241" s="10"/>
      <c r="R241" s="7" t="str">
        <f ca="1">IF(B241="","",IF(Q241&lt;&gt;"",Q241,IF(H241&gt;TODAY(),"لم يبدأ بعد",IF(J241&lt;TODAY(),"منتهٍ",IF(J241-TODAY()&lt;='القوائم والإعدادات'!$E$2,"قريب الانتهاء","ساري")))))</f>
        <v/>
      </c>
      <c r="S241" s="7" t="str">
        <f t="shared" ca="1" si="12"/>
        <v/>
      </c>
      <c r="T241" s="7" t="str">
        <f ca="1">IF(OR(R241="ساري",R241="قريب الانتهاء"),IF(S241&lt;='القوائم والإعدادات'!$E$4,"عاجل",IF(S241&lt;='القوائم والإعدادات'!$E$3,"خلال 60 يوم",IF(S241&lt;='القوائم والإعدادات'!$E$2,"خلال 90 يوم",""))),"")</f>
        <v/>
      </c>
      <c r="U241" s="7" t="str">
        <f>IF(B241="","",COUNTIF(التمديدات!$A$2:$A$301,B241))</f>
        <v/>
      </c>
      <c r="V241" s="10"/>
      <c r="W241" s="10"/>
      <c r="X241" s="7" t="str">
        <f t="shared" si="13"/>
        <v/>
      </c>
    </row>
    <row r="242" spans="1:24">
      <c r="A242" s="7">
        <v>241</v>
      </c>
      <c r="B242" s="10"/>
      <c r="C242" s="10"/>
      <c r="D242" s="10"/>
      <c r="E242" s="10"/>
      <c r="F242" s="10"/>
      <c r="G242" s="11"/>
      <c r="H242" s="11"/>
      <c r="I242" s="11"/>
      <c r="J242" s="12" t="str">
        <f>IF(B242="","",MAX(I242,_xlfn.MAXIFS(التمديدات!$C$2:$C$301,التمديدات!$A$2:$A$301,B242)))</f>
        <v/>
      </c>
      <c r="K242" s="7" t="str">
        <f t="shared" si="11"/>
        <v/>
      </c>
      <c r="L242" s="26"/>
      <c r="M242" s="27"/>
      <c r="N242" s="10"/>
      <c r="O242" s="10"/>
      <c r="P242" s="10"/>
      <c r="Q242" s="10"/>
      <c r="R242" s="7" t="str">
        <f ca="1">IF(B242="","",IF(Q242&lt;&gt;"",Q242,IF(H242&gt;TODAY(),"لم يبدأ بعد",IF(J242&lt;TODAY(),"منتهٍ",IF(J242-TODAY()&lt;='القوائم والإعدادات'!$E$2,"قريب الانتهاء","ساري")))))</f>
        <v/>
      </c>
      <c r="S242" s="7" t="str">
        <f t="shared" ca="1" si="12"/>
        <v/>
      </c>
      <c r="T242" s="7" t="str">
        <f ca="1">IF(OR(R242="ساري",R242="قريب الانتهاء"),IF(S242&lt;='القوائم والإعدادات'!$E$4,"عاجل",IF(S242&lt;='القوائم والإعدادات'!$E$3,"خلال 60 يوم",IF(S242&lt;='القوائم والإعدادات'!$E$2,"خلال 90 يوم",""))),"")</f>
        <v/>
      </c>
      <c r="U242" s="7" t="str">
        <f>IF(B242="","",COUNTIF(التمديدات!$A$2:$A$301,B242))</f>
        <v/>
      </c>
      <c r="V242" s="10"/>
      <c r="W242" s="10"/>
      <c r="X242" s="7" t="str">
        <f t="shared" si="13"/>
        <v/>
      </c>
    </row>
    <row r="243" spans="1:24">
      <c r="A243" s="7">
        <v>242</v>
      </c>
      <c r="B243" s="10"/>
      <c r="C243" s="10"/>
      <c r="D243" s="10"/>
      <c r="E243" s="10"/>
      <c r="F243" s="10"/>
      <c r="G243" s="11"/>
      <c r="H243" s="11"/>
      <c r="I243" s="11"/>
      <c r="J243" s="12" t="str">
        <f>IF(B243="","",MAX(I243,_xlfn.MAXIFS(التمديدات!$C$2:$C$301,التمديدات!$A$2:$A$301,B243)))</f>
        <v/>
      </c>
      <c r="K243" s="7" t="str">
        <f t="shared" si="11"/>
        <v/>
      </c>
      <c r="L243" s="26"/>
      <c r="M243" s="27"/>
      <c r="N243" s="10"/>
      <c r="O243" s="10"/>
      <c r="P243" s="10"/>
      <c r="Q243" s="10"/>
      <c r="R243" s="7" t="str">
        <f ca="1">IF(B243="","",IF(Q243&lt;&gt;"",Q243,IF(H243&gt;TODAY(),"لم يبدأ بعد",IF(J243&lt;TODAY(),"منتهٍ",IF(J243-TODAY()&lt;='القوائم والإعدادات'!$E$2,"قريب الانتهاء","ساري")))))</f>
        <v/>
      </c>
      <c r="S243" s="7" t="str">
        <f t="shared" ca="1" si="12"/>
        <v/>
      </c>
      <c r="T243" s="7" t="str">
        <f ca="1">IF(OR(R243="ساري",R243="قريب الانتهاء"),IF(S243&lt;='القوائم والإعدادات'!$E$4,"عاجل",IF(S243&lt;='القوائم والإعدادات'!$E$3,"خلال 60 يوم",IF(S243&lt;='القوائم والإعدادات'!$E$2,"خلال 90 يوم",""))),"")</f>
        <v/>
      </c>
      <c r="U243" s="7" t="str">
        <f>IF(B243="","",COUNTIF(التمديدات!$A$2:$A$301,B243))</f>
        <v/>
      </c>
      <c r="V243" s="10"/>
      <c r="W243" s="10"/>
      <c r="X243" s="7" t="str">
        <f t="shared" si="13"/>
        <v/>
      </c>
    </row>
    <row r="244" spans="1:24">
      <c r="A244" s="7">
        <v>243</v>
      </c>
      <c r="B244" s="10"/>
      <c r="C244" s="10"/>
      <c r="D244" s="10"/>
      <c r="E244" s="10"/>
      <c r="F244" s="10"/>
      <c r="G244" s="11"/>
      <c r="H244" s="11"/>
      <c r="I244" s="11"/>
      <c r="J244" s="12" t="str">
        <f>IF(B244="","",MAX(I244,_xlfn.MAXIFS(التمديدات!$C$2:$C$301,التمديدات!$A$2:$A$301,B244)))</f>
        <v/>
      </c>
      <c r="K244" s="7" t="str">
        <f t="shared" si="11"/>
        <v/>
      </c>
      <c r="L244" s="26"/>
      <c r="M244" s="27"/>
      <c r="N244" s="10"/>
      <c r="O244" s="10"/>
      <c r="P244" s="10"/>
      <c r="Q244" s="10"/>
      <c r="R244" s="7" t="str">
        <f ca="1">IF(B244="","",IF(Q244&lt;&gt;"",Q244,IF(H244&gt;TODAY(),"لم يبدأ بعد",IF(J244&lt;TODAY(),"منتهٍ",IF(J244-TODAY()&lt;='القوائم والإعدادات'!$E$2,"قريب الانتهاء","ساري")))))</f>
        <v/>
      </c>
      <c r="S244" s="7" t="str">
        <f t="shared" ca="1" si="12"/>
        <v/>
      </c>
      <c r="T244" s="7" t="str">
        <f ca="1">IF(OR(R244="ساري",R244="قريب الانتهاء"),IF(S244&lt;='القوائم والإعدادات'!$E$4,"عاجل",IF(S244&lt;='القوائم والإعدادات'!$E$3,"خلال 60 يوم",IF(S244&lt;='القوائم والإعدادات'!$E$2,"خلال 90 يوم",""))),"")</f>
        <v/>
      </c>
      <c r="U244" s="7" t="str">
        <f>IF(B244="","",COUNTIF(التمديدات!$A$2:$A$301,B244))</f>
        <v/>
      </c>
      <c r="V244" s="10"/>
      <c r="W244" s="10"/>
      <c r="X244" s="7" t="str">
        <f t="shared" si="13"/>
        <v/>
      </c>
    </row>
    <row r="245" spans="1:24">
      <c r="A245" s="7">
        <v>244</v>
      </c>
      <c r="B245" s="10"/>
      <c r="C245" s="10"/>
      <c r="D245" s="10"/>
      <c r="E245" s="10"/>
      <c r="F245" s="10"/>
      <c r="G245" s="11"/>
      <c r="H245" s="11"/>
      <c r="I245" s="11"/>
      <c r="J245" s="12" t="str">
        <f>IF(B245="","",MAX(I245,_xlfn.MAXIFS(التمديدات!$C$2:$C$301,التمديدات!$A$2:$A$301,B245)))</f>
        <v/>
      </c>
      <c r="K245" s="7" t="str">
        <f t="shared" si="11"/>
        <v/>
      </c>
      <c r="L245" s="26"/>
      <c r="M245" s="27"/>
      <c r="N245" s="10"/>
      <c r="O245" s="10"/>
      <c r="P245" s="10"/>
      <c r="Q245" s="10"/>
      <c r="R245" s="7" t="str">
        <f ca="1">IF(B245="","",IF(Q245&lt;&gt;"",Q245,IF(H245&gt;TODAY(),"لم يبدأ بعد",IF(J245&lt;TODAY(),"منتهٍ",IF(J245-TODAY()&lt;='القوائم والإعدادات'!$E$2,"قريب الانتهاء","ساري")))))</f>
        <v/>
      </c>
      <c r="S245" s="7" t="str">
        <f t="shared" ca="1" si="12"/>
        <v/>
      </c>
      <c r="T245" s="7" t="str">
        <f ca="1">IF(OR(R245="ساري",R245="قريب الانتهاء"),IF(S245&lt;='القوائم والإعدادات'!$E$4,"عاجل",IF(S245&lt;='القوائم والإعدادات'!$E$3,"خلال 60 يوم",IF(S245&lt;='القوائم والإعدادات'!$E$2,"خلال 90 يوم",""))),"")</f>
        <v/>
      </c>
      <c r="U245" s="7" t="str">
        <f>IF(B245="","",COUNTIF(التمديدات!$A$2:$A$301,B245))</f>
        <v/>
      </c>
      <c r="V245" s="10"/>
      <c r="W245" s="10"/>
      <c r="X245" s="7" t="str">
        <f t="shared" si="13"/>
        <v/>
      </c>
    </row>
    <row r="246" spans="1:24">
      <c r="A246" s="7">
        <v>245</v>
      </c>
      <c r="B246" s="10"/>
      <c r="C246" s="10"/>
      <c r="D246" s="10"/>
      <c r="E246" s="10"/>
      <c r="F246" s="10"/>
      <c r="G246" s="11"/>
      <c r="H246" s="11"/>
      <c r="I246" s="11"/>
      <c r="J246" s="12" t="str">
        <f>IF(B246="","",MAX(I246,_xlfn.MAXIFS(التمديدات!$C$2:$C$301,التمديدات!$A$2:$A$301,B246)))</f>
        <v/>
      </c>
      <c r="K246" s="7" t="str">
        <f t="shared" si="11"/>
        <v/>
      </c>
      <c r="L246" s="26"/>
      <c r="M246" s="27"/>
      <c r="N246" s="10"/>
      <c r="O246" s="10"/>
      <c r="P246" s="10"/>
      <c r="Q246" s="10"/>
      <c r="R246" s="7" t="str">
        <f ca="1">IF(B246="","",IF(Q246&lt;&gt;"",Q246,IF(H246&gt;TODAY(),"لم يبدأ بعد",IF(J246&lt;TODAY(),"منتهٍ",IF(J246-TODAY()&lt;='القوائم والإعدادات'!$E$2,"قريب الانتهاء","ساري")))))</f>
        <v/>
      </c>
      <c r="S246" s="7" t="str">
        <f t="shared" ca="1" si="12"/>
        <v/>
      </c>
      <c r="T246" s="7" t="str">
        <f ca="1">IF(OR(R246="ساري",R246="قريب الانتهاء"),IF(S246&lt;='القوائم والإعدادات'!$E$4,"عاجل",IF(S246&lt;='القوائم والإعدادات'!$E$3,"خلال 60 يوم",IF(S246&lt;='القوائم والإعدادات'!$E$2,"خلال 90 يوم",""))),"")</f>
        <v/>
      </c>
      <c r="U246" s="7" t="str">
        <f>IF(B246="","",COUNTIF(التمديدات!$A$2:$A$301,B246))</f>
        <v/>
      </c>
      <c r="V246" s="10"/>
      <c r="W246" s="10"/>
      <c r="X246" s="7" t="str">
        <f t="shared" si="13"/>
        <v/>
      </c>
    </row>
    <row r="247" spans="1:24">
      <c r="A247" s="7">
        <v>246</v>
      </c>
      <c r="B247" s="10"/>
      <c r="C247" s="10"/>
      <c r="D247" s="10"/>
      <c r="E247" s="10"/>
      <c r="F247" s="10"/>
      <c r="G247" s="11"/>
      <c r="H247" s="11"/>
      <c r="I247" s="11"/>
      <c r="J247" s="12" t="str">
        <f>IF(B247="","",MAX(I247,_xlfn.MAXIFS(التمديدات!$C$2:$C$301,التمديدات!$A$2:$A$301,B247)))</f>
        <v/>
      </c>
      <c r="K247" s="7" t="str">
        <f t="shared" si="11"/>
        <v/>
      </c>
      <c r="L247" s="26"/>
      <c r="M247" s="27"/>
      <c r="N247" s="10"/>
      <c r="O247" s="10"/>
      <c r="P247" s="10"/>
      <c r="Q247" s="10"/>
      <c r="R247" s="7" t="str">
        <f ca="1">IF(B247="","",IF(Q247&lt;&gt;"",Q247,IF(H247&gt;TODAY(),"لم يبدأ بعد",IF(J247&lt;TODAY(),"منتهٍ",IF(J247-TODAY()&lt;='القوائم والإعدادات'!$E$2,"قريب الانتهاء","ساري")))))</f>
        <v/>
      </c>
      <c r="S247" s="7" t="str">
        <f t="shared" ca="1" si="12"/>
        <v/>
      </c>
      <c r="T247" s="7" t="str">
        <f ca="1">IF(OR(R247="ساري",R247="قريب الانتهاء"),IF(S247&lt;='القوائم والإعدادات'!$E$4,"عاجل",IF(S247&lt;='القوائم والإعدادات'!$E$3,"خلال 60 يوم",IF(S247&lt;='القوائم والإعدادات'!$E$2,"خلال 90 يوم",""))),"")</f>
        <v/>
      </c>
      <c r="U247" s="7" t="str">
        <f>IF(B247="","",COUNTIF(التمديدات!$A$2:$A$301,B247))</f>
        <v/>
      </c>
      <c r="V247" s="10"/>
      <c r="W247" s="10"/>
      <c r="X247" s="7" t="str">
        <f t="shared" si="13"/>
        <v/>
      </c>
    </row>
    <row r="248" spans="1:24">
      <c r="A248" s="7">
        <v>247</v>
      </c>
      <c r="B248" s="10"/>
      <c r="C248" s="10"/>
      <c r="D248" s="10"/>
      <c r="E248" s="10"/>
      <c r="F248" s="10"/>
      <c r="G248" s="11"/>
      <c r="H248" s="11"/>
      <c r="I248" s="11"/>
      <c r="J248" s="12" t="str">
        <f>IF(B248="","",MAX(I248,_xlfn.MAXIFS(التمديدات!$C$2:$C$301,التمديدات!$A$2:$A$301,B248)))</f>
        <v/>
      </c>
      <c r="K248" s="7" t="str">
        <f t="shared" si="11"/>
        <v/>
      </c>
      <c r="L248" s="26"/>
      <c r="M248" s="27"/>
      <c r="N248" s="10"/>
      <c r="O248" s="10"/>
      <c r="P248" s="10"/>
      <c r="Q248" s="10"/>
      <c r="R248" s="7" t="str">
        <f ca="1">IF(B248="","",IF(Q248&lt;&gt;"",Q248,IF(H248&gt;TODAY(),"لم يبدأ بعد",IF(J248&lt;TODAY(),"منتهٍ",IF(J248-TODAY()&lt;='القوائم والإعدادات'!$E$2,"قريب الانتهاء","ساري")))))</f>
        <v/>
      </c>
      <c r="S248" s="7" t="str">
        <f t="shared" ca="1" si="12"/>
        <v/>
      </c>
      <c r="T248" s="7" t="str">
        <f ca="1">IF(OR(R248="ساري",R248="قريب الانتهاء"),IF(S248&lt;='القوائم والإعدادات'!$E$4,"عاجل",IF(S248&lt;='القوائم والإعدادات'!$E$3,"خلال 60 يوم",IF(S248&lt;='القوائم والإعدادات'!$E$2,"خلال 90 يوم",""))),"")</f>
        <v/>
      </c>
      <c r="U248" s="7" t="str">
        <f>IF(B248="","",COUNTIF(التمديدات!$A$2:$A$301,B248))</f>
        <v/>
      </c>
      <c r="V248" s="10"/>
      <c r="W248" s="10"/>
      <c r="X248" s="7" t="str">
        <f t="shared" si="13"/>
        <v/>
      </c>
    </row>
    <row r="249" spans="1:24">
      <c r="A249" s="7">
        <v>248</v>
      </c>
      <c r="B249" s="10"/>
      <c r="C249" s="10"/>
      <c r="D249" s="10"/>
      <c r="E249" s="10"/>
      <c r="F249" s="10"/>
      <c r="G249" s="11"/>
      <c r="H249" s="11"/>
      <c r="I249" s="11"/>
      <c r="J249" s="12" t="str">
        <f>IF(B249="","",MAX(I249,_xlfn.MAXIFS(التمديدات!$C$2:$C$301,التمديدات!$A$2:$A$301,B249)))</f>
        <v/>
      </c>
      <c r="K249" s="7" t="str">
        <f t="shared" si="11"/>
        <v/>
      </c>
      <c r="L249" s="26"/>
      <c r="M249" s="27"/>
      <c r="N249" s="10"/>
      <c r="O249" s="10"/>
      <c r="P249" s="10"/>
      <c r="Q249" s="10"/>
      <c r="R249" s="7" t="str">
        <f ca="1">IF(B249="","",IF(Q249&lt;&gt;"",Q249,IF(H249&gt;TODAY(),"لم يبدأ بعد",IF(J249&lt;TODAY(),"منتهٍ",IF(J249-TODAY()&lt;='القوائم والإعدادات'!$E$2,"قريب الانتهاء","ساري")))))</f>
        <v/>
      </c>
      <c r="S249" s="7" t="str">
        <f t="shared" ca="1" si="12"/>
        <v/>
      </c>
      <c r="T249" s="7" t="str">
        <f ca="1">IF(OR(R249="ساري",R249="قريب الانتهاء"),IF(S249&lt;='القوائم والإعدادات'!$E$4,"عاجل",IF(S249&lt;='القوائم والإعدادات'!$E$3,"خلال 60 يوم",IF(S249&lt;='القوائم والإعدادات'!$E$2,"خلال 90 يوم",""))),"")</f>
        <v/>
      </c>
      <c r="U249" s="7" t="str">
        <f>IF(B249="","",COUNTIF(التمديدات!$A$2:$A$301,B249))</f>
        <v/>
      </c>
      <c r="V249" s="10"/>
      <c r="W249" s="10"/>
      <c r="X249" s="7" t="str">
        <f t="shared" si="13"/>
        <v/>
      </c>
    </row>
    <row r="250" spans="1:24">
      <c r="A250" s="7">
        <v>249</v>
      </c>
      <c r="B250" s="10"/>
      <c r="C250" s="10"/>
      <c r="D250" s="10"/>
      <c r="E250" s="10"/>
      <c r="F250" s="10"/>
      <c r="G250" s="11"/>
      <c r="H250" s="11"/>
      <c r="I250" s="11"/>
      <c r="J250" s="12" t="str">
        <f>IF(B250="","",MAX(I250,_xlfn.MAXIFS(التمديدات!$C$2:$C$301,التمديدات!$A$2:$A$301,B250)))</f>
        <v/>
      </c>
      <c r="K250" s="7" t="str">
        <f t="shared" si="11"/>
        <v/>
      </c>
      <c r="L250" s="26"/>
      <c r="M250" s="27"/>
      <c r="N250" s="10"/>
      <c r="O250" s="10"/>
      <c r="P250" s="10"/>
      <c r="Q250" s="10"/>
      <c r="R250" s="7" t="str">
        <f ca="1">IF(B250="","",IF(Q250&lt;&gt;"",Q250,IF(H250&gt;TODAY(),"لم يبدأ بعد",IF(J250&lt;TODAY(),"منتهٍ",IF(J250-TODAY()&lt;='القوائم والإعدادات'!$E$2,"قريب الانتهاء","ساري")))))</f>
        <v/>
      </c>
      <c r="S250" s="7" t="str">
        <f t="shared" ca="1" si="12"/>
        <v/>
      </c>
      <c r="T250" s="7" t="str">
        <f ca="1">IF(OR(R250="ساري",R250="قريب الانتهاء"),IF(S250&lt;='القوائم والإعدادات'!$E$4,"عاجل",IF(S250&lt;='القوائم والإعدادات'!$E$3,"خلال 60 يوم",IF(S250&lt;='القوائم والإعدادات'!$E$2,"خلال 90 يوم",""))),"")</f>
        <v/>
      </c>
      <c r="U250" s="7" t="str">
        <f>IF(B250="","",COUNTIF(التمديدات!$A$2:$A$301,B250))</f>
        <v/>
      </c>
      <c r="V250" s="10"/>
      <c r="W250" s="10"/>
      <c r="X250" s="7" t="str">
        <f t="shared" si="13"/>
        <v/>
      </c>
    </row>
    <row r="251" spans="1:24">
      <c r="A251" s="7">
        <v>250</v>
      </c>
      <c r="B251" s="10"/>
      <c r="C251" s="10"/>
      <c r="D251" s="10"/>
      <c r="E251" s="10"/>
      <c r="F251" s="10"/>
      <c r="G251" s="11"/>
      <c r="H251" s="11"/>
      <c r="I251" s="11"/>
      <c r="J251" s="12" t="str">
        <f>IF(B251="","",MAX(I251,_xlfn.MAXIFS(التمديدات!$C$2:$C$301,التمديدات!$A$2:$A$301,B251)))</f>
        <v/>
      </c>
      <c r="K251" s="7" t="str">
        <f t="shared" si="11"/>
        <v/>
      </c>
      <c r="L251" s="26"/>
      <c r="M251" s="27"/>
      <c r="N251" s="10"/>
      <c r="O251" s="10"/>
      <c r="P251" s="10"/>
      <c r="Q251" s="10"/>
      <c r="R251" s="7" t="str">
        <f ca="1">IF(B251="","",IF(Q251&lt;&gt;"",Q251,IF(H251&gt;TODAY(),"لم يبدأ بعد",IF(J251&lt;TODAY(),"منتهٍ",IF(J251-TODAY()&lt;='القوائم والإعدادات'!$E$2,"قريب الانتهاء","ساري")))))</f>
        <v/>
      </c>
      <c r="S251" s="7" t="str">
        <f t="shared" ca="1" si="12"/>
        <v/>
      </c>
      <c r="T251" s="7" t="str">
        <f ca="1">IF(OR(R251="ساري",R251="قريب الانتهاء"),IF(S251&lt;='القوائم والإعدادات'!$E$4,"عاجل",IF(S251&lt;='القوائم والإعدادات'!$E$3,"خلال 60 يوم",IF(S251&lt;='القوائم والإعدادات'!$E$2,"خلال 90 يوم",""))),"")</f>
        <v/>
      </c>
      <c r="U251" s="7" t="str">
        <f>IF(B251="","",COUNTIF(التمديدات!$A$2:$A$301,B251))</f>
        <v/>
      </c>
      <c r="V251" s="10"/>
      <c r="W251" s="10"/>
      <c r="X251" s="7" t="str">
        <f t="shared" si="13"/>
        <v/>
      </c>
    </row>
    <row r="252" spans="1:24">
      <c r="A252" s="7">
        <v>251</v>
      </c>
      <c r="B252" s="10"/>
      <c r="C252" s="10"/>
      <c r="D252" s="10"/>
      <c r="E252" s="10"/>
      <c r="F252" s="10"/>
      <c r="G252" s="11"/>
      <c r="H252" s="11"/>
      <c r="I252" s="11"/>
      <c r="J252" s="12" t="str">
        <f>IF(B252="","",MAX(I252,_xlfn.MAXIFS(التمديدات!$C$2:$C$301,التمديدات!$A$2:$A$301,B252)))</f>
        <v/>
      </c>
      <c r="K252" s="7" t="str">
        <f t="shared" si="11"/>
        <v/>
      </c>
      <c r="L252" s="26"/>
      <c r="M252" s="27"/>
      <c r="N252" s="10"/>
      <c r="O252" s="10"/>
      <c r="P252" s="10"/>
      <c r="Q252" s="10"/>
      <c r="R252" s="7" t="str">
        <f ca="1">IF(B252="","",IF(Q252&lt;&gt;"",Q252,IF(H252&gt;TODAY(),"لم يبدأ بعد",IF(J252&lt;TODAY(),"منتهٍ",IF(J252-TODAY()&lt;='القوائم والإعدادات'!$E$2,"قريب الانتهاء","ساري")))))</f>
        <v/>
      </c>
      <c r="S252" s="7" t="str">
        <f t="shared" ca="1" si="12"/>
        <v/>
      </c>
      <c r="T252" s="7" t="str">
        <f ca="1">IF(OR(R252="ساري",R252="قريب الانتهاء"),IF(S252&lt;='القوائم والإعدادات'!$E$4,"عاجل",IF(S252&lt;='القوائم والإعدادات'!$E$3,"خلال 60 يوم",IF(S252&lt;='القوائم والإعدادات'!$E$2,"خلال 90 يوم",""))),"")</f>
        <v/>
      </c>
      <c r="U252" s="7" t="str">
        <f>IF(B252="","",COUNTIF(التمديدات!$A$2:$A$301,B252))</f>
        <v/>
      </c>
      <c r="V252" s="10"/>
      <c r="W252" s="10"/>
      <c r="X252" s="7" t="str">
        <f t="shared" si="13"/>
        <v/>
      </c>
    </row>
    <row r="253" spans="1:24">
      <c r="A253" s="7">
        <v>252</v>
      </c>
      <c r="B253" s="10"/>
      <c r="C253" s="10"/>
      <c r="D253" s="10"/>
      <c r="E253" s="10"/>
      <c r="F253" s="10"/>
      <c r="G253" s="11"/>
      <c r="H253" s="11"/>
      <c r="I253" s="11"/>
      <c r="J253" s="12" t="str">
        <f>IF(B253="","",MAX(I253,_xlfn.MAXIFS(التمديدات!$C$2:$C$301,التمديدات!$A$2:$A$301,B253)))</f>
        <v/>
      </c>
      <c r="K253" s="7" t="str">
        <f t="shared" si="11"/>
        <v/>
      </c>
      <c r="L253" s="26"/>
      <c r="M253" s="27"/>
      <c r="N253" s="10"/>
      <c r="O253" s="10"/>
      <c r="P253" s="10"/>
      <c r="Q253" s="10"/>
      <c r="R253" s="7" t="str">
        <f ca="1">IF(B253="","",IF(Q253&lt;&gt;"",Q253,IF(H253&gt;TODAY(),"لم يبدأ بعد",IF(J253&lt;TODAY(),"منتهٍ",IF(J253-TODAY()&lt;='القوائم والإعدادات'!$E$2,"قريب الانتهاء","ساري")))))</f>
        <v/>
      </c>
      <c r="S253" s="7" t="str">
        <f t="shared" ca="1" si="12"/>
        <v/>
      </c>
      <c r="T253" s="7" t="str">
        <f ca="1">IF(OR(R253="ساري",R253="قريب الانتهاء"),IF(S253&lt;='القوائم والإعدادات'!$E$4,"عاجل",IF(S253&lt;='القوائم والإعدادات'!$E$3,"خلال 60 يوم",IF(S253&lt;='القوائم والإعدادات'!$E$2,"خلال 90 يوم",""))),"")</f>
        <v/>
      </c>
      <c r="U253" s="7" t="str">
        <f>IF(B253="","",COUNTIF(التمديدات!$A$2:$A$301,B253))</f>
        <v/>
      </c>
      <c r="V253" s="10"/>
      <c r="W253" s="10"/>
      <c r="X253" s="7" t="str">
        <f t="shared" si="13"/>
        <v/>
      </c>
    </row>
    <row r="254" spans="1:24">
      <c r="A254" s="7">
        <v>253</v>
      </c>
      <c r="B254" s="10"/>
      <c r="C254" s="10"/>
      <c r="D254" s="10"/>
      <c r="E254" s="10"/>
      <c r="F254" s="10"/>
      <c r="G254" s="11"/>
      <c r="H254" s="11"/>
      <c r="I254" s="11"/>
      <c r="J254" s="12" t="str">
        <f>IF(B254="","",MAX(I254,_xlfn.MAXIFS(التمديدات!$C$2:$C$301,التمديدات!$A$2:$A$301,B254)))</f>
        <v/>
      </c>
      <c r="K254" s="7" t="str">
        <f t="shared" si="11"/>
        <v/>
      </c>
      <c r="L254" s="26"/>
      <c r="M254" s="27"/>
      <c r="N254" s="10"/>
      <c r="O254" s="10"/>
      <c r="P254" s="10"/>
      <c r="Q254" s="10"/>
      <c r="R254" s="7" t="str">
        <f ca="1">IF(B254="","",IF(Q254&lt;&gt;"",Q254,IF(H254&gt;TODAY(),"لم يبدأ بعد",IF(J254&lt;TODAY(),"منتهٍ",IF(J254-TODAY()&lt;='القوائم والإعدادات'!$E$2,"قريب الانتهاء","ساري")))))</f>
        <v/>
      </c>
      <c r="S254" s="7" t="str">
        <f t="shared" ca="1" si="12"/>
        <v/>
      </c>
      <c r="T254" s="7" t="str">
        <f ca="1">IF(OR(R254="ساري",R254="قريب الانتهاء"),IF(S254&lt;='القوائم والإعدادات'!$E$4,"عاجل",IF(S254&lt;='القوائم والإعدادات'!$E$3,"خلال 60 يوم",IF(S254&lt;='القوائم والإعدادات'!$E$2,"خلال 90 يوم",""))),"")</f>
        <v/>
      </c>
      <c r="U254" s="7" t="str">
        <f>IF(B254="","",COUNTIF(التمديدات!$A$2:$A$301,B254))</f>
        <v/>
      </c>
      <c r="V254" s="10"/>
      <c r="W254" s="10"/>
      <c r="X254" s="7" t="str">
        <f t="shared" si="13"/>
        <v/>
      </c>
    </row>
    <row r="255" spans="1:24">
      <c r="A255" s="7">
        <v>254</v>
      </c>
      <c r="B255" s="10"/>
      <c r="C255" s="10"/>
      <c r="D255" s="10"/>
      <c r="E255" s="10"/>
      <c r="F255" s="10"/>
      <c r="G255" s="11"/>
      <c r="H255" s="11"/>
      <c r="I255" s="11"/>
      <c r="J255" s="12" t="str">
        <f>IF(B255="","",MAX(I255,_xlfn.MAXIFS(التمديدات!$C$2:$C$301,التمديدات!$A$2:$A$301,B255)))</f>
        <v/>
      </c>
      <c r="K255" s="7" t="str">
        <f t="shared" si="11"/>
        <v/>
      </c>
      <c r="L255" s="26"/>
      <c r="M255" s="27"/>
      <c r="N255" s="10"/>
      <c r="O255" s="10"/>
      <c r="P255" s="10"/>
      <c r="Q255" s="10"/>
      <c r="R255" s="7" t="str">
        <f ca="1">IF(B255="","",IF(Q255&lt;&gt;"",Q255,IF(H255&gt;TODAY(),"لم يبدأ بعد",IF(J255&lt;TODAY(),"منتهٍ",IF(J255-TODAY()&lt;='القوائم والإعدادات'!$E$2,"قريب الانتهاء","ساري")))))</f>
        <v/>
      </c>
      <c r="S255" s="7" t="str">
        <f t="shared" ca="1" si="12"/>
        <v/>
      </c>
      <c r="T255" s="7" t="str">
        <f ca="1">IF(OR(R255="ساري",R255="قريب الانتهاء"),IF(S255&lt;='القوائم والإعدادات'!$E$4,"عاجل",IF(S255&lt;='القوائم والإعدادات'!$E$3,"خلال 60 يوم",IF(S255&lt;='القوائم والإعدادات'!$E$2,"خلال 90 يوم",""))),"")</f>
        <v/>
      </c>
      <c r="U255" s="7" t="str">
        <f>IF(B255="","",COUNTIF(التمديدات!$A$2:$A$301,B255))</f>
        <v/>
      </c>
      <c r="V255" s="10"/>
      <c r="W255" s="10"/>
      <c r="X255" s="7" t="str">
        <f t="shared" si="13"/>
        <v/>
      </c>
    </row>
    <row r="256" spans="1:24">
      <c r="A256" s="7">
        <v>255</v>
      </c>
      <c r="B256" s="10"/>
      <c r="C256" s="10"/>
      <c r="D256" s="10"/>
      <c r="E256" s="10"/>
      <c r="F256" s="10"/>
      <c r="G256" s="11"/>
      <c r="H256" s="11"/>
      <c r="I256" s="11"/>
      <c r="J256" s="12" t="str">
        <f>IF(B256="","",MAX(I256,_xlfn.MAXIFS(التمديدات!$C$2:$C$301,التمديدات!$A$2:$A$301,B256)))</f>
        <v/>
      </c>
      <c r="K256" s="7" t="str">
        <f t="shared" si="11"/>
        <v/>
      </c>
      <c r="L256" s="26"/>
      <c r="M256" s="27"/>
      <c r="N256" s="10"/>
      <c r="O256" s="10"/>
      <c r="P256" s="10"/>
      <c r="Q256" s="10"/>
      <c r="R256" s="7" t="str">
        <f ca="1">IF(B256="","",IF(Q256&lt;&gt;"",Q256,IF(H256&gt;TODAY(),"لم يبدأ بعد",IF(J256&lt;TODAY(),"منتهٍ",IF(J256-TODAY()&lt;='القوائم والإعدادات'!$E$2,"قريب الانتهاء","ساري")))))</f>
        <v/>
      </c>
      <c r="S256" s="7" t="str">
        <f t="shared" ca="1" si="12"/>
        <v/>
      </c>
      <c r="T256" s="7" t="str">
        <f ca="1">IF(OR(R256="ساري",R256="قريب الانتهاء"),IF(S256&lt;='القوائم والإعدادات'!$E$4,"عاجل",IF(S256&lt;='القوائم والإعدادات'!$E$3,"خلال 60 يوم",IF(S256&lt;='القوائم والإعدادات'!$E$2,"خلال 90 يوم",""))),"")</f>
        <v/>
      </c>
      <c r="U256" s="7" t="str">
        <f>IF(B256="","",COUNTIF(التمديدات!$A$2:$A$301,B256))</f>
        <v/>
      </c>
      <c r="V256" s="10"/>
      <c r="W256" s="10"/>
      <c r="X256" s="7" t="str">
        <f t="shared" si="13"/>
        <v/>
      </c>
    </row>
    <row r="257" spans="1:24">
      <c r="A257" s="7">
        <v>256</v>
      </c>
      <c r="B257" s="10"/>
      <c r="C257" s="10"/>
      <c r="D257" s="10"/>
      <c r="E257" s="10"/>
      <c r="F257" s="10"/>
      <c r="G257" s="11"/>
      <c r="H257" s="11"/>
      <c r="I257" s="11"/>
      <c r="J257" s="12" t="str">
        <f>IF(B257="","",MAX(I257,_xlfn.MAXIFS(التمديدات!$C$2:$C$301,التمديدات!$A$2:$A$301,B257)))</f>
        <v/>
      </c>
      <c r="K257" s="7" t="str">
        <f t="shared" si="11"/>
        <v/>
      </c>
      <c r="L257" s="26"/>
      <c r="M257" s="27"/>
      <c r="N257" s="10"/>
      <c r="O257" s="10"/>
      <c r="P257" s="10"/>
      <c r="Q257" s="10"/>
      <c r="R257" s="7" t="str">
        <f ca="1">IF(B257="","",IF(Q257&lt;&gt;"",Q257,IF(H257&gt;TODAY(),"لم يبدأ بعد",IF(J257&lt;TODAY(),"منتهٍ",IF(J257-TODAY()&lt;='القوائم والإعدادات'!$E$2,"قريب الانتهاء","ساري")))))</f>
        <v/>
      </c>
      <c r="S257" s="7" t="str">
        <f t="shared" ca="1" si="12"/>
        <v/>
      </c>
      <c r="T257" s="7" t="str">
        <f ca="1">IF(OR(R257="ساري",R257="قريب الانتهاء"),IF(S257&lt;='القوائم والإعدادات'!$E$4,"عاجل",IF(S257&lt;='القوائم والإعدادات'!$E$3,"خلال 60 يوم",IF(S257&lt;='القوائم والإعدادات'!$E$2,"خلال 90 يوم",""))),"")</f>
        <v/>
      </c>
      <c r="U257" s="7" t="str">
        <f>IF(B257="","",COUNTIF(التمديدات!$A$2:$A$301,B257))</f>
        <v/>
      </c>
      <c r="V257" s="10"/>
      <c r="W257" s="10"/>
      <c r="X257" s="7" t="str">
        <f t="shared" si="13"/>
        <v/>
      </c>
    </row>
    <row r="258" spans="1:24">
      <c r="A258" s="7">
        <v>257</v>
      </c>
      <c r="B258" s="10"/>
      <c r="C258" s="10"/>
      <c r="D258" s="10"/>
      <c r="E258" s="10"/>
      <c r="F258" s="10"/>
      <c r="G258" s="11"/>
      <c r="H258" s="11"/>
      <c r="I258" s="11"/>
      <c r="J258" s="12" t="str">
        <f>IF(B258="","",MAX(I258,_xlfn.MAXIFS(التمديدات!$C$2:$C$301,التمديدات!$A$2:$A$301,B258)))</f>
        <v/>
      </c>
      <c r="K258" s="7" t="str">
        <f t="shared" ref="K258:K321" si="14">IF(OR(H258="",I258=""),"",ROUND((I258-H258)/30.4,0))</f>
        <v/>
      </c>
      <c r="L258" s="26"/>
      <c r="M258" s="27"/>
      <c r="N258" s="10"/>
      <c r="O258" s="10"/>
      <c r="P258" s="10"/>
      <c r="Q258" s="10"/>
      <c r="R258" s="7" t="str">
        <f ca="1">IF(B258="","",IF(Q258&lt;&gt;"",Q258,IF(H258&gt;TODAY(),"لم يبدأ بعد",IF(J258&lt;TODAY(),"منتهٍ",IF(J258-TODAY()&lt;='القوائم والإعدادات'!$E$2,"قريب الانتهاء","ساري")))))</f>
        <v/>
      </c>
      <c r="S258" s="7" t="str">
        <f t="shared" ca="1" si="12"/>
        <v/>
      </c>
      <c r="T258" s="7" t="str">
        <f ca="1">IF(OR(R258="ساري",R258="قريب الانتهاء"),IF(S258&lt;='القوائم والإعدادات'!$E$4,"عاجل",IF(S258&lt;='القوائم والإعدادات'!$E$3,"خلال 60 يوم",IF(S258&lt;='القوائم والإعدادات'!$E$2,"خلال 90 يوم",""))),"")</f>
        <v/>
      </c>
      <c r="U258" s="7" t="str">
        <f>IF(B258="","",COUNTIF(التمديدات!$A$2:$A$301,B258))</f>
        <v/>
      </c>
      <c r="V258" s="10"/>
      <c r="W258" s="10"/>
      <c r="X258" s="7" t="str">
        <f t="shared" si="13"/>
        <v/>
      </c>
    </row>
    <row r="259" spans="1:24">
      <c r="A259" s="7">
        <v>258</v>
      </c>
      <c r="B259" s="10"/>
      <c r="C259" s="10"/>
      <c r="D259" s="10"/>
      <c r="E259" s="10"/>
      <c r="F259" s="10"/>
      <c r="G259" s="11"/>
      <c r="H259" s="11"/>
      <c r="I259" s="11"/>
      <c r="J259" s="12" t="str">
        <f>IF(B259="","",MAX(I259,_xlfn.MAXIFS(التمديدات!$C$2:$C$301,التمديدات!$A$2:$A$301,B259)))</f>
        <v/>
      </c>
      <c r="K259" s="7" t="str">
        <f t="shared" si="14"/>
        <v/>
      </c>
      <c r="L259" s="26"/>
      <c r="M259" s="27"/>
      <c r="N259" s="10"/>
      <c r="O259" s="10"/>
      <c r="P259" s="10"/>
      <c r="Q259" s="10"/>
      <c r="R259" s="7" t="str">
        <f ca="1">IF(B259="","",IF(Q259&lt;&gt;"",Q259,IF(H259&gt;TODAY(),"لم يبدأ بعد",IF(J259&lt;TODAY(),"منتهٍ",IF(J259-TODAY()&lt;='القوائم والإعدادات'!$E$2,"قريب الانتهاء","ساري")))))</f>
        <v/>
      </c>
      <c r="S259" s="7" t="str">
        <f t="shared" ca="1" si="12"/>
        <v/>
      </c>
      <c r="T259" s="7" t="str">
        <f ca="1">IF(OR(R259="ساري",R259="قريب الانتهاء"),IF(S259&lt;='القوائم والإعدادات'!$E$4,"عاجل",IF(S259&lt;='القوائم والإعدادات'!$E$3,"خلال 60 يوم",IF(S259&lt;='القوائم والإعدادات'!$E$2,"خلال 90 يوم",""))),"")</f>
        <v/>
      </c>
      <c r="U259" s="7" t="str">
        <f>IF(B259="","",COUNTIF(التمديدات!$A$2:$A$301,B259))</f>
        <v/>
      </c>
      <c r="V259" s="10"/>
      <c r="W259" s="10"/>
      <c r="X259" s="7" t="str">
        <f t="shared" si="13"/>
        <v/>
      </c>
    </row>
    <row r="260" spans="1:24">
      <c r="A260" s="7">
        <v>259</v>
      </c>
      <c r="B260" s="10"/>
      <c r="C260" s="10"/>
      <c r="D260" s="10"/>
      <c r="E260" s="10"/>
      <c r="F260" s="10"/>
      <c r="G260" s="11"/>
      <c r="H260" s="11"/>
      <c r="I260" s="11"/>
      <c r="J260" s="12" t="str">
        <f>IF(B260="","",MAX(I260,_xlfn.MAXIFS(التمديدات!$C$2:$C$301,التمديدات!$A$2:$A$301,B260)))</f>
        <v/>
      </c>
      <c r="K260" s="7" t="str">
        <f t="shared" si="14"/>
        <v/>
      </c>
      <c r="L260" s="26"/>
      <c r="M260" s="27"/>
      <c r="N260" s="10"/>
      <c r="O260" s="10"/>
      <c r="P260" s="10"/>
      <c r="Q260" s="10"/>
      <c r="R260" s="7" t="str">
        <f ca="1">IF(B260="","",IF(Q260&lt;&gt;"",Q260,IF(H260&gt;TODAY(),"لم يبدأ بعد",IF(J260&lt;TODAY(),"منتهٍ",IF(J260-TODAY()&lt;='القوائم والإعدادات'!$E$2,"قريب الانتهاء","ساري")))))</f>
        <v/>
      </c>
      <c r="S260" s="7" t="str">
        <f t="shared" ca="1" si="12"/>
        <v/>
      </c>
      <c r="T260" s="7" t="str">
        <f ca="1">IF(OR(R260="ساري",R260="قريب الانتهاء"),IF(S260&lt;='القوائم والإعدادات'!$E$4,"عاجل",IF(S260&lt;='القوائم والإعدادات'!$E$3,"خلال 60 يوم",IF(S260&lt;='القوائم والإعدادات'!$E$2,"خلال 90 يوم",""))),"")</f>
        <v/>
      </c>
      <c r="U260" s="7" t="str">
        <f>IF(B260="","",COUNTIF(التمديدات!$A$2:$A$301,B260))</f>
        <v/>
      </c>
      <c r="V260" s="10"/>
      <c r="W260" s="10"/>
      <c r="X260" s="7" t="str">
        <f t="shared" si="13"/>
        <v/>
      </c>
    </row>
    <row r="261" spans="1:24">
      <c r="A261" s="7">
        <v>260</v>
      </c>
      <c r="B261" s="10"/>
      <c r="C261" s="10"/>
      <c r="D261" s="10"/>
      <c r="E261" s="10"/>
      <c r="F261" s="10"/>
      <c r="G261" s="11"/>
      <c r="H261" s="11"/>
      <c r="I261" s="11"/>
      <c r="J261" s="12" t="str">
        <f>IF(B261="","",MAX(I261,_xlfn.MAXIFS(التمديدات!$C$2:$C$301,التمديدات!$A$2:$A$301,B261)))</f>
        <v/>
      </c>
      <c r="K261" s="7" t="str">
        <f t="shared" si="14"/>
        <v/>
      </c>
      <c r="L261" s="26"/>
      <c r="M261" s="27"/>
      <c r="N261" s="10"/>
      <c r="O261" s="10"/>
      <c r="P261" s="10"/>
      <c r="Q261" s="10"/>
      <c r="R261" s="7" t="str">
        <f ca="1">IF(B261="","",IF(Q261&lt;&gt;"",Q261,IF(H261&gt;TODAY(),"لم يبدأ بعد",IF(J261&lt;TODAY(),"منتهٍ",IF(J261-TODAY()&lt;='القوائم والإعدادات'!$E$2,"قريب الانتهاء","ساري")))))</f>
        <v/>
      </c>
      <c r="S261" s="7" t="str">
        <f t="shared" ca="1" si="12"/>
        <v/>
      </c>
      <c r="T261" s="7" t="str">
        <f ca="1">IF(OR(R261="ساري",R261="قريب الانتهاء"),IF(S261&lt;='القوائم والإعدادات'!$E$4,"عاجل",IF(S261&lt;='القوائم والإعدادات'!$E$3,"خلال 60 يوم",IF(S261&lt;='القوائم والإعدادات'!$E$2,"خلال 90 يوم",""))),"")</f>
        <v/>
      </c>
      <c r="U261" s="7" t="str">
        <f>IF(B261="","",COUNTIF(التمديدات!$A$2:$A$301,B261))</f>
        <v/>
      </c>
      <c r="V261" s="10"/>
      <c r="W261" s="10"/>
      <c r="X261" s="7" t="str">
        <f t="shared" si="13"/>
        <v/>
      </c>
    </row>
    <row r="262" spans="1:24">
      <c r="A262" s="7">
        <v>261</v>
      </c>
      <c r="B262" s="10"/>
      <c r="C262" s="10"/>
      <c r="D262" s="10"/>
      <c r="E262" s="10"/>
      <c r="F262" s="10"/>
      <c r="G262" s="11"/>
      <c r="H262" s="11"/>
      <c r="I262" s="11"/>
      <c r="J262" s="12" t="str">
        <f>IF(B262="","",MAX(I262,_xlfn.MAXIFS(التمديدات!$C$2:$C$301,التمديدات!$A$2:$A$301,B262)))</f>
        <v/>
      </c>
      <c r="K262" s="7" t="str">
        <f t="shared" si="14"/>
        <v/>
      </c>
      <c r="L262" s="26"/>
      <c r="M262" s="27"/>
      <c r="N262" s="10"/>
      <c r="O262" s="10"/>
      <c r="P262" s="10"/>
      <c r="Q262" s="10"/>
      <c r="R262" s="7" t="str">
        <f ca="1">IF(B262="","",IF(Q262&lt;&gt;"",Q262,IF(H262&gt;TODAY(),"لم يبدأ بعد",IF(J262&lt;TODAY(),"منتهٍ",IF(J262-TODAY()&lt;='القوائم والإعدادات'!$E$2,"قريب الانتهاء","ساري")))))</f>
        <v/>
      </c>
      <c r="S262" s="7" t="str">
        <f t="shared" ca="1" si="12"/>
        <v/>
      </c>
      <c r="T262" s="7" t="str">
        <f ca="1">IF(OR(R262="ساري",R262="قريب الانتهاء"),IF(S262&lt;='القوائم والإعدادات'!$E$4,"عاجل",IF(S262&lt;='القوائم والإعدادات'!$E$3,"خلال 60 يوم",IF(S262&lt;='القوائم والإعدادات'!$E$2,"خلال 90 يوم",""))),"")</f>
        <v/>
      </c>
      <c r="U262" s="7" t="str">
        <f>IF(B262="","",COUNTIF(التمديدات!$A$2:$A$301,B262))</f>
        <v/>
      </c>
      <c r="V262" s="10"/>
      <c r="W262" s="10"/>
      <c r="X262" s="7" t="str">
        <f t="shared" si="13"/>
        <v/>
      </c>
    </row>
    <row r="263" spans="1:24">
      <c r="A263" s="7">
        <v>262</v>
      </c>
      <c r="B263" s="10"/>
      <c r="C263" s="10"/>
      <c r="D263" s="10"/>
      <c r="E263" s="10"/>
      <c r="F263" s="10"/>
      <c r="G263" s="11"/>
      <c r="H263" s="11"/>
      <c r="I263" s="11"/>
      <c r="J263" s="12" t="str">
        <f>IF(B263="","",MAX(I263,_xlfn.MAXIFS(التمديدات!$C$2:$C$301,التمديدات!$A$2:$A$301,B263)))</f>
        <v/>
      </c>
      <c r="K263" s="7" t="str">
        <f t="shared" si="14"/>
        <v/>
      </c>
      <c r="L263" s="26"/>
      <c r="M263" s="27"/>
      <c r="N263" s="10"/>
      <c r="O263" s="10"/>
      <c r="P263" s="10"/>
      <c r="Q263" s="10"/>
      <c r="R263" s="7" t="str">
        <f ca="1">IF(B263="","",IF(Q263&lt;&gt;"",Q263,IF(H263&gt;TODAY(),"لم يبدأ بعد",IF(J263&lt;TODAY(),"منتهٍ",IF(J263-TODAY()&lt;='القوائم والإعدادات'!$E$2,"قريب الانتهاء","ساري")))))</f>
        <v/>
      </c>
      <c r="S263" s="7" t="str">
        <f t="shared" ca="1" si="12"/>
        <v/>
      </c>
      <c r="T263" s="7" t="str">
        <f ca="1">IF(OR(R263="ساري",R263="قريب الانتهاء"),IF(S263&lt;='القوائم والإعدادات'!$E$4,"عاجل",IF(S263&lt;='القوائم والإعدادات'!$E$3,"خلال 60 يوم",IF(S263&lt;='القوائم والإعدادات'!$E$2,"خلال 90 يوم",""))),"")</f>
        <v/>
      </c>
      <c r="U263" s="7" t="str">
        <f>IF(B263="","",COUNTIF(التمديدات!$A$2:$A$301,B263))</f>
        <v/>
      </c>
      <c r="V263" s="10"/>
      <c r="W263" s="10"/>
      <c r="X263" s="7" t="str">
        <f t="shared" si="13"/>
        <v/>
      </c>
    </row>
    <row r="264" spans="1:24">
      <c r="A264" s="7">
        <v>263</v>
      </c>
      <c r="B264" s="10"/>
      <c r="C264" s="10"/>
      <c r="D264" s="10"/>
      <c r="E264" s="10"/>
      <c r="F264" s="10"/>
      <c r="G264" s="11"/>
      <c r="H264" s="11"/>
      <c r="I264" s="11"/>
      <c r="J264" s="12" t="str">
        <f>IF(B264="","",MAX(I264,_xlfn.MAXIFS(التمديدات!$C$2:$C$301,التمديدات!$A$2:$A$301,B264)))</f>
        <v/>
      </c>
      <c r="K264" s="7" t="str">
        <f t="shared" si="14"/>
        <v/>
      </c>
      <c r="L264" s="26"/>
      <c r="M264" s="27"/>
      <c r="N264" s="10"/>
      <c r="O264" s="10"/>
      <c r="P264" s="10"/>
      <c r="Q264" s="10"/>
      <c r="R264" s="7" t="str">
        <f ca="1">IF(B264="","",IF(Q264&lt;&gt;"",Q264,IF(H264&gt;TODAY(),"لم يبدأ بعد",IF(J264&lt;TODAY(),"منتهٍ",IF(J264-TODAY()&lt;='القوائم والإعدادات'!$E$2,"قريب الانتهاء","ساري")))))</f>
        <v/>
      </c>
      <c r="S264" s="7" t="str">
        <f t="shared" ca="1" si="12"/>
        <v/>
      </c>
      <c r="T264" s="7" t="str">
        <f ca="1">IF(OR(R264="ساري",R264="قريب الانتهاء"),IF(S264&lt;='القوائم والإعدادات'!$E$4,"عاجل",IF(S264&lt;='القوائم والإعدادات'!$E$3,"خلال 60 يوم",IF(S264&lt;='القوائم والإعدادات'!$E$2,"خلال 90 يوم",""))),"")</f>
        <v/>
      </c>
      <c r="U264" s="7" t="str">
        <f>IF(B264="","",COUNTIF(التمديدات!$A$2:$A$301,B264))</f>
        <v/>
      </c>
      <c r="V264" s="10"/>
      <c r="W264" s="10"/>
      <c r="X264" s="7" t="str">
        <f t="shared" si="13"/>
        <v/>
      </c>
    </row>
    <row r="265" spans="1:24">
      <c r="A265" s="7">
        <v>264</v>
      </c>
      <c r="B265" s="10"/>
      <c r="C265" s="10"/>
      <c r="D265" s="10"/>
      <c r="E265" s="10"/>
      <c r="F265" s="10"/>
      <c r="G265" s="11"/>
      <c r="H265" s="11"/>
      <c r="I265" s="11"/>
      <c r="J265" s="12" t="str">
        <f>IF(B265="","",MAX(I265,_xlfn.MAXIFS(التمديدات!$C$2:$C$301,التمديدات!$A$2:$A$301,B265)))</f>
        <v/>
      </c>
      <c r="K265" s="7" t="str">
        <f t="shared" si="14"/>
        <v/>
      </c>
      <c r="L265" s="26"/>
      <c r="M265" s="27"/>
      <c r="N265" s="10"/>
      <c r="O265" s="10"/>
      <c r="P265" s="10"/>
      <c r="Q265" s="10"/>
      <c r="R265" s="7" t="str">
        <f ca="1">IF(B265="","",IF(Q265&lt;&gt;"",Q265,IF(H265&gt;TODAY(),"لم يبدأ بعد",IF(J265&lt;TODAY(),"منتهٍ",IF(J265-TODAY()&lt;='القوائم والإعدادات'!$E$2,"قريب الانتهاء","ساري")))))</f>
        <v/>
      </c>
      <c r="S265" s="7" t="str">
        <f t="shared" ca="1" si="12"/>
        <v/>
      </c>
      <c r="T265" s="7" t="str">
        <f ca="1">IF(OR(R265="ساري",R265="قريب الانتهاء"),IF(S265&lt;='القوائم والإعدادات'!$E$4,"عاجل",IF(S265&lt;='القوائم والإعدادات'!$E$3,"خلال 60 يوم",IF(S265&lt;='القوائم والإعدادات'!$E$2,"خلال 90 يوم",""))),"")</f>
        <v/>
      </c>
      <c r="U265" s="7" t="str">
        <f>IF(B265="","",COUNTIF(التمديدات!$A$2:$A$301,B265))</f>
        <v/>
      </c>
      <c r="V265" s="10"/>
      <c r="W265" s="10"/>
      <c r="X265" s="7" t="str">
        <f t="shared" si="13"/>
        <v/>
      </c>
    </row>
    <row r="266" spans="1:24">
      <c r="A266" s="7">
        <v>265</v>
      </c>
      <c r="B266" s="10"/>
      <c r="C266" s="10"/>
      <c r="D266" s="10"/>
      <c r="E266" s="10"/>
      <c r="F266" s="10"/>
      <c r="G266" s="11"/>
      <c r="H266" s="11"/>
      <c r="I266" s="11"/>
      <c r="J266" s="12" t="str">
        <f>IF(B266="","",MAX(I266,_xlfn.MAXIFS(التمديدات!$C$2:$C$301,التمديدات!$A$2:$A$301,B266)))</f>
        <v/>
      </c>
      <c r="K266" s="7" t="str">
        <f t="shared" si="14"/>
        <v/>
      </c>
      <c r="L266" s="26"/>
      <c r="M266" s="27"/>
      <c r="N266" s="10"/>
      <c r="O266" s="10"/>
      <c r="P266" s="10"/>
      <c r="Q266" s="10"/>
      <c r="R266" s="7" t="str">
        <f ca="1">IF(B266="","",IF(Q266&lt;&gt;"",Q266,IF(H266&gt;TODAY(),"لم يبدأ بعد",IF(J266&lt;TODAY(),"منتهٍ",IF(J266-TODAY()&lt;='القوائم والإعدادات'!$E$2,"قريب الانتهاء","ساري")))))</f>
        <v/>
      </c>
      <c r="S266" s="7" t="str">
        <f t="shared" ca="1" si="12"/>
        <v/>
      </c>
      <c r="T266" s="7" t="str">
        <f ca="1">IF(OR(R266="ساري",R266="قريب الانتهاء"),IF(S266&lt;='القوائم والإعدادات'!$E$4,"عاجل",IF(S266&lt;='القوائم والإعدادات'!$E$3,"خلال 60 يوم",IF(S266&lt;='القوائم والإعدادات'!$E$2,"خلال 90 يوم",""))),"")</f>
        <v/>
      </c>
      <c r="U266" s="7" t="str">
        <f>IF(B266="","",COUNTIF(التمديدات!$A$2:$A$301,B266))</f>
        <v/>
      </c>
      <c r="V266" s="10"/>
      <c r="W266" s="10"/>
      <c r="X266" s="7" t="str">
        <f t="shared" si="13"/>
        <v/>
      </c>
    </row>
    <row r="267" spans="1:24">
      <c r="A267" s="7">
        <v>266</v>
      </c>
      <c r="B267" s="10"/>
      <c r="C267" s="10"/>
      <c r="D267" s="10"/>
      <c r="E267" s="10"/>
      <c r="F267" s="10"/>
      <c r="G267" s="11"/>
      <c r="H267" s="11"/>
      <c r="I267" s="11"/>
      <c r="J267" s="12" t="str">
        <f>IF(B267="","",MAX(I267,_xlfn.MAXIFS(التمديدات!$C$2:$C$301,التمديدات!$A$2:$A$301,B267)))</f>
        <v/>
      </c>
      <c r="K267" s="7" t="str">
        <f t="shared" si="14"/>
        <v/>
      </c>
      <c r="L267" s="26"/>
      <c r="M267" s="27"/>
      <c r="N267" s="10"/>
      <c r="O267" s="10"/>
      <c r="P267" s="10"/>
      <c r="Q267" s="10"/>
      <c r="R267" s="7" t="str">
        <f ca="1">IF(B267="","",IF(Q267&lt;&gt;"",Q267,IF(H267&gt;TODAY(),"لم يبدأ بعد",IF(J267&lt;TODAY(),"منتهٍ",IF(J267-TODAY()&lt;='القوائم والإعدادات'!$E$2,"قريب الانتهاء","ساري")))))</f>
        <v/>
      </c>
      <c r="S267" s="7" t="str">
        <f t="shared" ca="1" si="12"/>
        <v/>
      </c>
      <c r="T267" s="7" t="str">
        <f ca="1">IF(OR(R267="ساري",R267="قريب الانتهاء"),IF(S267&lt;='القوائم والإعدادات'!$E$4,"عاجل",IF(S267&lt;='القوائم والإعدادات'!$E$3,"خلال 60 يوم",IF(S267&lt;='القوائم والإعدادات'!$E$2,"خلال 90 يوم",""))),"")</f>
        <v/>
      </c>
      <c r="U267" s="7" t="str">
        <f>IF(B267="","",COUNTIF(التمديدات!$A$2:$A$301,B267))</f>
        <v/>
      </c>
      <c r="V267" s="10"/>
      <c r="W267" s="10"/>
      <c r="X267" s="7" t="str">
        <f t="shared" si="13"/>
        <v/>
      </c>
    </row>
    <row r="268" spans="1:24">
      <c r="A268" s="7">
        <v>267</v>
      </c>
      <c r="B268" s="10"/>
      <c r="C268" s="10"/>
      <c r="D268" s="10"/>
      <c r="E268" s="10"/>
      <c r="F268" s="10"/>
      <c r="G268" s="11"/>
      <c r="H268" s="11"/>
      <c r="I268" s="11"/>
      <c r="J268" s="12" t="str">
        <f>IF(B268="","",MAX(I268,_xlfn.MAXIFS(التمديدات!$C$2:$C$301,التمديدات!$A$2:$A$301,B268)))</f>
        <v/>
      </c>
      <c r="K268" s="7" t="str">
        <f t="shared" si="14"/>
        <v/>
      </c>
      <c r="L268" s="26"/>
      <c r="M268" s="27"/>
      <c r="N268" s="10"/>
      <c r="O268" s="10"/>
      <c r="P268" s="10"/>
      <c r="Q268" s="10"/>
      <c r="R268" s="7" t="str">
        <f ca="1">IF(B268="","",IF(Q268&lt;&gt;"",Q268,IF(H268&gt;TODAY(),"لم يبدأ بعد",IF(J268&lt;TODAY(),"منتهٍ",IF(J268-TODAY()&lt;='القوائم والإعدادات'!$E$2,"قريب الانتهاء","ساري")))))</f>
        <v/>
      </c>
      <c r="S268" s="7" t="str">
        <f t="shared" ca="1" si="12"/>
        <v/>
      </c>
      <c r="T268" s="7" t="str">
        <f ca="1">IF(OR(R268="ساري",R268="قريب الانتهاء"),IF(S268&lt;='القوائم والإعدادات'!$E$4,"عاجل",IF(S268&lt;='القوائم والإعدادات'!$E$3,"خلال 60 يوم",IF(S268&lt;='القوائم والإعدادات'!$E$2,"خلال 90 يوم",""))),"")</f>
        <v/>
      </c>
      <c r="U268" s="7" t="str">
        <f>IF(B268="","",COUNTIF(التمديدات!$A$2:$A$301,B268))</f>
        <v/>
      </c>
      <c r="V268" s="10"/>
      <c r="W268" s="10"/>
      <c r="X268" s="7" t="str">
        <f t="shared" si="13"/>
        <v/>
      </c>
    </row>
    <row r="269" spans="1:24">
      <c r="A269" s="7">
        <v>268</v>
      </c>
      <c r="B269" s="10"/>
      <c r="C269" s="10"/>
      <c r="D269" s="10"/>
      <c r="E269" s="10"/>
      <c r="F269" s="10"/>
      <c r="G269" s="11"/>
      <c r="H269" s="11"/>
      <c r="I269" s="11"/>
      <c r="J269" s="12" t="str">
        <f>IF(B269="","",MAX(I269,_xlfn.MAXIFS(التمديدات!$C$2:$C$301,التمديدات!$A$2:$A$301,B269)))</f>
        <v/>
      </c>
      <c r="K269" s="7" t="str">
        <f t="shared" si="14"/>
        <v/>
      </c>
      <c r="L269" s="26"/>
      <c r="M269" s="27"/>
      <c r="N269" s="10"/>
      <c r="O269" s="10"/>
      <c r="P269" s="10"/>
      <c r="Q269" s="10"/>
      <c r="R269" s="7" t="str">
        <f ca="1">IF(B269="","",IF(Q269&lt;&gt;"",Q269,IF(H269&gt;TODAY(),"لم يبدأ بعد",IF(J269&lt;TODAY(),"منتهٍ",IF(J269-TODAY()&lt;='القوائم والإعدادات'!$E$2,"قريب الانتهاء","ساري")))))</f>
        <v/>
      </c>
      <c r="S269" s="7" t="str">
        <f t="shared" ca="1" si="12"/>
        <v/>
      </c>
      <c r="T269" s="7" t="str">
        <f ca="1">IF(OR(R269="ساري",R269="قريب الانتهاء"),IF(S269&lt;='القوائم والإعدادات'!$E$4,"عاجل",IF(S269&lt;='القوائم والإعدادات'!$E$3,"خلال 60 يوم",IF(S269&lt;='القوائم والإعدادات'!$E$2,"خلال 90 يوم",""))),"")</f>
        <v/>
      </c>
      <c r="U269" s="7" t="str">
        <f>IF(B269="","",COUNTIF(التمديدات!$A$2:$A$301,B269))</f>
        <v/>
      </c>
      <c r="V269" s="10"/>
      <c r="W269" s="10"/>
      <c r="X269" s="7" t="str">
        <f t="shared" si="13"/>
        <v/>
      </c>
    </row>
    <row r="270" spans="1:24">
      <c r="A270" s="7">
        <v>269</v>
      </c>
      <c r="B270" s="10"/>
      <c r="C270" s="10"/>
      <c r="D270" s="10"/>
      <c r="E270" s="10"/>
      <c r="F270" s="10"/>
      <c r="G270" s="11"/>
      <c r="H270" s="11"/>
      <c r="I270" s="11"/>
      <c r="J270" s="12" t="str">
        <f>IF(B270="","",MAX(I270,_xlfn.MAXIFS(التمديدات!$C$2:$C$301,التمديدات!$A$2:$A$301,B270)))</f>
        <v/>
      </c>
      <c r="K270" s="7" t="str">
        <f t="shared" si="14"/>
        <v/>
      </c>
      <c r="L270" s="26"/>
      <c r="M270" s="27"/>
      <c r="N270" s="10"/>
      <c r="O270" s="10"/>
      <c r="P270" s="10"/>
      <c r="Q270" s="10"/>
      <c r="R270" s="7" t="str">
        <f ca="1">IF(B270="","",IF(Q270&lt;&gt;"",Q270,IF(H270&gt;TODAY(),"لم يبدأ بعد",IF(J270&lt;TODAY(),"منتهٍ",IF(J270-TODAY()&lt;='القوائم والإعدادات'!$E$2,"قريب الانتهاء","ساري")))))</f>
        <v/>
      </c>
      <c r="S270" s="7" t="str">
        <f t="shared" ca="1" si="12"/>
        <v/>
      </c>
      <c r="T270" s="7" t="str">
        <f ca="1">IF(OR(R270="ساري",R270="قريب الانتهاء"),IF(S270&lt;='القوائم والإعدادات'!$E$4,"عاجل",IF(S270&lt;='القوائم والإعدادات'!$E$3,"خلال 60 يوم",IF(S270&lt;='القوائم والإعدادات'!$E$2,"خلال 90 يوم",""))),"")</f>
        <v/>
      </c>
      <c r="U270" s="7" t="str">
        <f>IF(B270="","",COUNTIF(التمديدات!$A$2:$A$301,B270))</f>
        <v/>
      </c>
      <c r="V270" s="10"/>
      <c r="W270" s="10"/>
      <c r="X270" s="7" t="str">
        <f t="shared" si="13"/>
        <v/>
      </c>
    </row>
    <row r="271" spans="1:24">
      <c r="A271" s="7">
        <v>270</v>
      </c>
      <c r="B271" s="10"/>
      <c r="C271" s="10"/>
      <c r="D271" s="10"/>
      <c r="E271" s="10"/>
      <c r="F271" s="10"/>
      <c r="G271" s="11"/>
      <c r="H271" s="11"/>
      <c r="I271" s="11"/>
      <c r="J271" s="12" t="str">
        <f>IF(B271="","",MAX(I271,_xlfn.MAXIFS(التمديدات!$C$2:$C$301,التمديدات!$A$2:$A$301,B271)))</f>
        <v/>
      </c>
      <c r="K271" s="7" t="str">
        <f t="shared" si="14"/>
        <v/>
      </c>
      <c r="L271" s="26"/>
      <c r="M271" s="27"/>
      <c r="N271" s="10"/>
      <c r="O271" s="10"/>
      <c r="P271" s="10"/>
      <c r="Q271" s="10"/>
      <c r="R271" s="7" t="str">
        <f ca="1">IF(B271="","",IF(Q271&lt;&gt;"",Q271,IF(H271&gt;TODAY(),"لم يبدأ بعد",IF(J271&lt;TODAY(),"منتهٍ",IF(J271-TODAY()&lt;='القوائم والإعدادات'!$E$2,"قريب الانتهاء","ساري")))))</f>
        <v/>
      </c>
      <c r="S271" s="7" t="str">
        <f t="shared" ca="1" si="12"/>
        <v/>
      </c>
      <c r="T271" s="7" t="str">
        <f ca="1">IF(OR(R271="ساري",R271="قريب الانتهاء"),IF(S271&lt;='القوائم والإعدادات'!$E$4,"عاجل",IF(S271&lt;='القوائم والإعدادات'!$E$3,"خلال 60 يوم",IF(S271&lt;='القوائم والإعدادات'!$E$2,"خلال 90 يوم",""))),"")</f>
        <v/>
      </c>
      <c r="U271" s="7" t="str">
        <f>IF(B271="","",COUNTIF(التمديدات!$A$2:$A$301,B271))</f>
        <v/>
      </c>
      <c r="V271" s="10"/>
      <c r="W271" s="10"/>
      <c r="X271" s="7" t="str">
        <f t="shared" si="13"/>
        <v/>
      </c>
    </row>
    <row r="272" spans="1:24">
      <c r="A272" s="7">
        <v>271</v>
      </c>
      <c r="B272" s="10"/>
      <c r="C272" s="10"/>
      <c r="D272" s="10"/>
      <c r="E272" s="10"/>
      <c r="F272" s="10"/>
      <c r="G272" s="11"/>
      <c r="H272" s="11"/>
      <c r="I272" s="11"/>
      <c r="J272" s="12" t="str">
        <f>IF(B272="","",MAX(I272,_xlfn.MAXIFS(التمديدات!$C$2:$C$301,التمديدات!$A$2:$A$301,B272)))</f>
        <v/>
      </c>
      <c r="K272" s="7" t="str">
        <f t="shared" si="14"/>
        <v/>
      </c>
      <c r="L272" s="26"/>
      <c r="M272" s="27"/>
      <c r="N272" s="10"/>
      <c r="O272" s="10"/>
      <c r="P272" s="10"/>
      <c r="Q272" s="10"/>
      <c r="R272" s="7" t="str">
        <f ca="1">IF(B272="","",IF(Q272&lt;&gt;"",Q272,IF(H272&gt;TODAY(),"لم يبدأ بعد",IF(J272&lt;TODAY(),"منتهٍ",IF(J272-TODAY()&lt;='القوائم والإعدادات'!$E$2,"قريب الانتهاء","ساري")))))</f>
        <v/>
      </c>
      <c r="S272" s="7" t="str">
        <f t="shared" ca="1" si="12"/>
        <v/>
      </c>
      <c r="T272" s="7" t="str">
        <f ca="1">IF(OR(R272="ساري",R272="قريب الانتهاء"),IF(S272&lt;='القوائم والإعدادات'!$E$4,"عاجل",IF(S272&lt;='القوائم والإعدادات'!$E$3,"خلال 60 يوم",IF(S272&lt;='القوائم والإعدادات'!$E$2,"خلال 90 يوم",""))),"")</f>
        <v/>
      </c>
      <c r="U272" s="7" t="str">
        <f>IF(B272="","",COUNTIF(التمديدات!$A$2:$A$301,B272))</f>
        <v/>
      </c>
      <c r="V272" s="10"/>
      <c r="W272" s="10"/>
      <c r="X272" s="7" t="str">
        <f t="shared" si="13"/>
        <v/>
      </c>
    </row>
    <row r="273" spans="1:24">
      <c r="A273" s="7">
        <v>272</v>
      </c>
      <c r="B273" s="10"/>
      <c r="C273" s="10"/>
      <c r="D273" s="10"/>
      <c r="E273" s="10"/>
      <c r="F273" s="10"/>
      <c r="G273" s="11"/>
      <c r="H273" s="11"/>
      <c r="I273" s="11"/>
      <c r="J273" s="12" t="str">
        <f>IF(B273="","",MAX(I273,_xlfn.MAXIFS(التمديدات!$C$2:$C$301,التمديدات!$A$2:$A$301,B273)))</f>
        <v/>
      </c>
      <c r="K273" s="7" t="str">
        <f t="shared" si="14"/>
        <v/>
      </c>
      <c r="L273" s="26"/>
      <c r="M273" s="27"/>
      <c r="N273" s="10"/>
      <c r="O273" s="10"/>
      <c r="P273" s="10"/>
      <c r="Q273" s="10"/>
      <c r="R273" s="7" t="str">
        <f ca="1">IF(B273="","",IF(Q273&lt;&gt;"",Q273,IF(H273&gt;TODAY(),"لم يبدأ بعد",IF(J273&lt;TODAY(),"منتهٍ",IF(J273-TODAY()&lt;='القوائم والإعدادات'!$E$2,"قريب الانتهاء","ساري")))))</f>
        <v/>
      </c>
      <c r="S273" s="7" t="str">
        <f t="shared" ca="1" si="12"/>
        <v/>
      </c>
      <c r="T273" s="7" t="str">
        <f ca="1">IF(OR(R273="ساري",R273="قريب الانتهاء"),IF(S273&lt;='القوائم والإعدادات'!$E$4,"عاجل",IF(S273&lt;='القوائم والإعدادات'!$E$3,"خلال 60 يوم",IF(S273&lt;='القوائم والإعدادات'!$E$2,"خلال 90 يوم",""))),"")</f>
        <v/>
      </c>
      <c r="U273" s="7" t="str">
        <f>IF(B273="","",COUNTIF(التمديدات!$A$2:$A$301,B273))</f>
        <v/>
      </c>
      <c r="V273" s="10"/>
      <c r="W273" s="10"/>
      <c r="X273" s="7" t="str">
        <f t="shared" si="13"/>
        <v/>
      </c>
    </row>
    <row r="274" spans="1:24">
      <c r="A274" s="7">
        <v>273</v>
      </c>
      <c r="B274" s="10"/>
      <c r="C274" s="10"/>
      <c r="D274" s="10"/>
      <c r="E274" s="10"/>
      <c r="F274" s="10"/>
      <c r="G274" s="11"/>
      <c r="H274" s="11"/>
      <c r="I274" s="11"/>
      <c r="J274" s="12" t="str">
        <f>IF(B274="","",MAX(I274,_xlfn.MAXIFS(التمديدات!$C$2:$C$301,التمديدات!$A$2:$A$301,B274)))</f>
        <v/>
      </c>
      <c r="K274" s="7" t="str">
        <f t="shared" si="14"/>
        <v/>
      </c>
      <c r="L274" s="26"/>
      <c r="M274" s="27"/>
      <c r="N274" s="10"/>
      <c r="O274" s="10"/>
      <c r="P274" s="10"/>
      <c r="Q274" s="10"/>
      <c r="R274" s="7" t="str">
        <f ca="1">IF(B274="","",IF(Q274&lt;&gt;"",Q274,IF(H274&gt;TODAY(),"لم يبدأ بعد",IF(J274&lt;TODAY(),"منتهٍ",IF(J274-TODAY()&lt;='القوائم والإعدادات'!$E$2,"قريب الانتهاء","ساري")))))</f>
        <v/>
      </c>
      <c r="S274" s="7" t="str">
        <f t="shared" ref="S274:S337" ca="1" si="15">IF(B274="","",J274-TODAY())</f>
        <v/>
      </c>
      <c r="T274" s="7" t="str">
        <f ca="1">IF(OR(R274="ساري",R274="قريب الانتهاء"),IF(S274&lt;='القوائم والإعدادات'!$E$4,"عاجل",IF(S274&lt;='القوائم والإعدادات'!$E$3,"خلال 60 يوم",IF(S274&lt;='القوائم والإعدادات'!$E$2,"خلال 90 يوم",""))),"")</f>
        <v/>
      </c>
      <c r="U274" s="7" t="str">
        <f>IF(B274="","",COUNTIF(التمديدات!$A$2:$A$301,B274))</f>
        <v/>
      </c>
      <c r="V274" s="10"/>
      <c r="W274" s="10"/>
      <c r="X274" s="7" t="str">
        <f t="shared" ref="X274:X337" si="16">IF(B274="","",IF(COUNTIFS($B$2:$B$501,B274,$D$2:$D$501,D274)&gt;1,"مكرر!",""))</f>
        <v/>
      </c>
    </row>
    <row r="275" spans="1:24">
      <c r="A275" s="7">
        <v>274</v>
      </c>
      <c r="B275" s="10"/>
      <c r="C275" s="10"/>
      <c r="D275" s="10"/>
      <c r="E275" s="10"/>
      <c r="F275" s="10"/>
      <c r="G275" s="11"/>
      <c r="H275" s="11"/>
      <c r="I275" s="11"/>
      <c r="J275" s="12" t="str">
        <f>IF(B275="","",MAX(I275,_xlfn.MAXIFS(التمديدات!$C$2:$C$301,التمديدات!$A$2:$A$301,B275)))</f>
        <v/>
      </c>
      <c r="K275" s="7" t="str">
        <f t="shared" si="14"/>
        <v/>
      </c>
      <c r="L275" s="26"/>
      <c r="M275" s="27"/>
      <c r="N275" s="10"/>
      <c r="O275" s="10"/>
      <c r="P275" s="10"/>
      <c r="Q275" s="10"/>
      <c r="R275" s="7" t="str">
        <f ca="1">IF(B275="","",IF(Q275&lt;&gt;"",Q275,IF(H275&gt;TODAY(),"لم يبدأ بعد",IF(J275&lt;TODAY(),"منتهٍ",IF(J275-TODAY()&lt;='القوائم والإعدادات'!$E$2,"قريب الانتهاء","ساري")))))</f>
        <v/>
      </c>
      <c r="S275" s="7" t="str">
        <f t="shared" ca="1" si="15"/>
        <v/>
      </c>
      <c r="T275" s="7" t="str">
        <f ca="1">IF(OR(R275="ساري",R275="قريب الانتهاء"),IF(S275&lt;='القوائم والإعدادات'!$E$4,"عاجل",IF(S275&lt;='القوائم والإعدادات'!$E$3,"خلال 60 يوم",IF(S275&lt;='القوائم والإعدادات'!$E$2,"خلال 90 يوم",""))),"")</f>
        <v/>
      </c>
      <c r="U275" s="7" t="str">
        <f>IF(B275="","",COUNTIF(التمديدات!$A$2:$A$301,B275))</f>
        <v/>
      </c>
      <c r="V275" s="10"/>
      <c r="W275" s="10"/>
      <c r="X275" s="7" t="str">
        <f t="shared" si="16"/>
        <v/>
      </c>
    </row>
    <row r="276" spans="1:24">
      <c r="A276" s="7">
        <v>275</v>
      </c>
      <c r="B276" s="10"/>
      <c r="C276" s="10"/>
      <c r="D276" s="10"/>
      <c r="E276" s="10"/>
      <c r="F276" s="10"/>
      <c r="G276" s="11"/>
      <c r="H276" s="11"/>
      <c r="I276" s="11"/>
      <c r="J276" s="12" t="str">
        <f>IF(B276="","",MAX(I276,_xlfn.MAXIFS(التمديدات!$C$2:$C$301,التمديدات!$A$2:$A$301,B276)))</f>
        <v/>
      </c>
      <c r="K276" s="7" t="str">
        <f t="shared" si="14"/>
        <v/>
      </c>
      <c r="L276" s="26"/>
      <c r="M276" s="27"/>
      <c r="N276" s="10"/>
      <c r="O276" s="10"/>
      <c r="P276" s="10"/>
      <c r="Q276" s="10"/>
      <c r="R276" s="7" t="str">
        <f ca="1">IF(B276="","",IF(Q276&lt;&gt;"",Q276,IF(H276&gt;TODAY(),"لم يبدأ بعد",IF(J276&lt;TODAY(),"منتهٍ",IF(J276-TODAY()&lt;='القوائم والإعدادات'!$E$2,"قريب الانتهاء","ساري")))))</f>
        <v/>
      </c>
      <c r="S276" s="7" t="str">
        <f t="shared" ca="1" si="15"/>
        <v/>
      </c>
      <c r="T276" s="7" t="str">
        <f ca="1">IF(OR(R276="ساري",R276="قريب الانتهاء"),IF(S276&lt;='القوائم والإعدادات'!$E$4,"عاجل",IF(S276&lt;='القوائم والإعدادات'!$E$3,"خلال 60 يوم",IF(S276&lt;='القوائم والإعدادات'!$E$2,"خلال 90 يوم",""))),"")</f>
        <v/>
      </c>
      <c r="U276" s="7" t="str">
        <f>IF(B276="","",COUNTIF(التمديدات!$A$2:$A$301,B276))</f>
        <v/>
      </c>
      <c r="V276" s="10"/>
      <c r="W276" s="10"/>
      <c r="X276" s="7" t="str">
        <f t="shared" si="16"/>
        <v/>
      </c>
    </row>
    <row r="277" spans="1:24">
      <c r="A277" s="7">
        <v>276</v>
      </c>
      <c r="B277" s="10"/>
      <c r="C277" s="10"/>
      <c r="D277" s="10"/>
      <c r="E277" s="10"/>
      <c r="F277" s="10"/>
      <c r="G277" s="11"/>
      <c r="H277" s="11"/>
      <c r="I277" s="11"/>
      <c r="J277" s="12" t="str">
        <f>IF(B277="","",MAX(I277,_xlfn.MAXIFS(التمديدات!$C$2:$C$301,التمديدات!$A$2:$A$301,B277)))</f>
        <v/>
      </c>
      <c r="K277" s="7" t="str">
        <f t="shared" si="14"/>
        <v/>
      </c>
      <c r="L277" s="26"/>
      <c r="M277" s="27"/>
      <c r="N277" s="10"/>
      <c r="O277" s="10"/>
      <c r="P277" s="10"/>
      <c r="Q277" s="10"/>
      <c r="R277" s="7" t="str">
        <f ca="1">IF(B277="","",IF(Q277&lt;&gt;"",Q277,IF(H277&gt;TODAY(),"لم يبدأ بعد",IF(J277&lt;TODAY(),"منتهٍ",IF(J277-TODAY()&lt;='القوائم والإعدادات'!$E$2,"قريب الانتهاء","ساري")))))</f>
        <v/>
      </c>
      <c r="S277" s="7" t="str">
        <f t="shared" ca="1" si="15"/>
        <v/>
      </c>
      <c r="T277" s="7" t="str">
        <f ca="1">IF(OR(R277="ساري",R277="قريب الانتهاء"),IF(S277&lt;='القوائم والإعدادات'!$E$4,"عاجل",IF(S277&lt;='القوائم والإعدادات'!$E$3,"خلال 60 يوم",IF(S277&lt;='القوائم والإعدادات'!$E$2,"خلال 90 يوم",""))),"")</f>
        <v/>
      </c>
      <c r="U277" s="7" t="str">
        <f>IF(B277="","",COUNTIF(التمديدات!$A$2:$A$301,B277))</f>
        <v/>
      </c>
      <c r="V277" s="10"/>
      <c r="W277" s="10"/>
      <c r="X277" s="7" t="str">
        <f t="shared" si="16"/>
        <v/>
      </c>
    </row>
    <row r="278" spans="1:24">
      <c r="A278" s="7">
        <v>277</v>
      </c>
      <c r="B278" s="10"/>
      <c r="C278" s="10"/>
      <c r="D278" s="10"/>
      <c r="E278" s="10"/>
      <c r="F278" s="10"/>
      <c r="G278" s="11"/>
      <c r="H278" s="11"/>
      <c r="I278" s="11"/>
      <c r="J278" s="12" t="str">
        <f>IF(B278="","",MAX(I278,_xlfn.MAXIFS(التمديدات!$C$2:$C$301,التمديدات!$A$2:$A$301,B278)))</f>
        <v/>
      </c>
      <c r="K278" s="7" t="str">
        <f t="shared" si="14"/>
        <v/>
      </c>
      <c r="L278" s="26"/>
      <c r="M278" s="27"/>
      <c r="N278" s="10"/>
      <c r="O278" s="10"/>
      <c r="P278" s="10"/>
      <c r="Q278" s="10"/>
      <c r="R278" s="7" t="str">
        <f ca="1">IF(B278="","",IF(Q278&lt;&gt;"",Q278,IF(H278&gt;TODAY(),"لم يبدأ بعد",IF(J278&lt;TODAY(),"منتهٍ",IF(J278-TODAY()&lt;='القوائم والإعدادات'!$E$2,"قريب الانتهاء","ساري")))))</f>
        <v/>
      </c>
      <c r="S278" s="7" t="str">
        <f t="shared" ca="1" si="15"/>
        <v/>
      </c>
      <c r="T278" s="7" t="str">
        <f ca="1">IF(OR(R278="ساري",R278="قريب الانتهاء"),IF(S278&lt;='القوائم والإعدادات'!$E$4,"عاجل",IF(S278&lt;='القوائم والإعدادات'!$E$3,"خلال 60 يوم",IF(S278&lt;='القوائم والإعدادات'!$E$2,"خلال 90 يوم",""))),"")</f>
        <v/>
      </c>
      <c r="U278" s="7" t="str">
        <f>IF(B278="","",COUNTIF(التمديدات!$A$2:$A$301,B278))</f>
        <v/>
      </c>
      <c r="V278" s="10"/>
      <c r="W278" s="10"/>
      <c r="X278" s="7" t="str">
        <f t="shared" si="16"/>
        <v/>
      </c>
    </row>
    <row r="279" spans="1:24">
      <c r="A279" s="7">
        <v>278</v>
      </c>
      <c r="B279" s="10"/>
      <c r="C279" s="10"/>
      <c r="D279" s="10"/>
      <c r="E279" s="10"/>
      <c r="F279" s="10"/>
      <c r="G279" s="11"/>
      <c r="H279" s="11"/>
      <c r="I279" s="11"/>
      <c r="J279" s="12" t="str">
        <f>IF(B279="","",MAX(I279,_xlfn.MAXIFS(التمديدات!$C$2:$C$301,التمديدات!$A$2:$A$301,B279)))</f>
        <v/>
      </c>
      <c r="K279" s="7" t="str">
        <f t="shared" si="14"/>
        <v/>
      </c>
      <c r="L279" s="26"/>
      <c r="M279" s="27"/>
      <c r="N279" s="10"/>
      <c r="O279" s="10"/>
      <c r="P279" s="10"/>
      <c r="Q279" s="10"/>
      <c r="R279" s="7" t="str">
        <f ca="1">IF(B279="","",IF(Q279&lt;&gt;"",Q279,IF(H279&gt;TODAY(),"لم يبدأ بعد",IF(J279&lt;TODAY(),"منتهٍ",IF(J279-TODAY()&lt;='القوائم والإعدادات'!$E$2,"قريب الانتهاء","ساري")))))</f>
        <v/>
      </c>
      <c r="S279" s="7" t="str">
        <f t="shared" ca="1" si="15"/>
        <v/>
      </c>
      <c r="T279" s="7" t="str">
        <f ca="1">IF(OR(R279="ساري",R279="قريب الانتهاء"),IF(S279&lt;='القوائم والإعدادات'!$E$4,"عاجل",IF(S279&lt;='القوائم والإعدادات'!$E$3,"خلال 60 يوم",IF(S279&lt;='القوائم والإعدادات'!$E$2,"خلال 90 يوم",""))),"")</f>
        <v/>
      </c>
      <c r="U279" s="7" t="str">
        <f>IF(B279="","",COUNTIF(التمديدات!$A$2:$A$301,B279))</f>
        <v/>
      </c>
      <c r="V279" s="10"/>
      <c r="W279" s="10"/>
      <c r="X279" s="7" t="str">
        <f t="shared" si="16"/>
        <v/>
      </c>
    </row>
    <row r="280" spans="1:24">
      <c r="A280" s="7">
        <v>279</v>
      </c>
      <c r="B280" s="10"/>
      <c r="C280" s="10"/>
      <c r="D280" s="10"/>
      <c r="E280" s="10"/>
      <c r="F280" s="10"/>
      <c r="G280" s="11"/>
      <c r="H280" s="11"/>
      <c r="I280" s="11"/>
      <c r="J280" s="12" t="str">
        <f>IF(B280="","",MAX(I280,_xlfn.MAXIFS(التمديدات!$C$2:$C$301,التمديدات!$A$2:$A$301,B280)))</f>
        <v/>
      </c>
      <c r="K280" s="7" t="str">
        <f t="shared" si="14"/>
        <v/>
      </c>
      <c r="L280" s="26"/>
      <c r="M280" s="27"/>
      <c r="N280" s="10"/>
      <c r="O280" s="10"/>
      <c r="P280" s="10"/>
      <c r="Q280" s="10"/>
      <c r="R280" s="7" t="str">
        <f ca="1">IF(B280="","",IF(Q280&lt;&gt;"",Q280,IF(H280&gt;TODAY(),"لم يبدأ بعد",IF(J280&lt;TODAY(),"منتهٍ",IF(J280-TODAY()&lt;='القوائم والإعدادات'!$E$2,"قريب الانتهاء","ساري")))))</f>
        <v/>
      </c>
      <c r="S280" s="7" t="str">
        <f t="shared" ca="1" si="15"/>
        <v/>
      </c>
      <c r="T280" s="7" t="str">
        <f ca="1">IF(OR(R280="ساري",R280="قريب الانتهاء"),IF(S280&lt;='القوائم والإعدادات'!$E$4,"عاجل",IF(S280&lt;='القوائم والإعدادات'!$E$3,"خلال 60 يوم",IF(S280&lt;='القوائم والإعدادات'!$E$2,"خلال 90 يوم",""))),"")</f>
        <v/>
      </c>
      <c r="U280" s="7" t="str">
        <f>IF(B280="","",COUNTIF(التمديدات!$A$2:$A$301,B280))</f>
        <v/>
      </c>
      <c r="V280" s="10"/>
      <c r="W280" s="10"/>
      <c r="X280" s="7" t="str">
        <f t="shared" si="16"/>
        <v/>
      </c>
    </row>
    <row r="281" spans="1:24">
      <c r="A281" s="7">
        <v>280</v>
      </c>
      <c r="B281" s="10"/>
      <c r="C281" s="10"/>
      <c r="D281" s="10"/>
      <c r="E281" s="10"/>
      <c r="F281" s="10"/>
      <c r="G281" s="11"/>
      <c r="H281" s="11"/>
      <c r="I281" s="11"/>
      <c r="J281" s="12" t="str">
        <f>IF(B281="","",MAX(I281,_xlfn.MAXIFS(التمديدات!$C$2:$C$301,التمديدات!$A$2:$A$301,B281)))</f>
        <v/>
      </c>
      <c r="K281" s="7" t="str">
        <f t="shared" si="14"/>
        <v/>
      </c>
      <c r="L281" s="26"/>
      <c r="M281" s="27"/>
      <c r="N281" s="10"/>
      <c r="O281" s="10"/>
      <c r="P281" s="10"/>
      <c r="Q281" s="10"/>
      <c r="R281" s="7" t="str">
        <f ca="1">IF(B281="","",IF(Q281&lt;&gt;"",Q281,IF(H281&gt;TODAY(),"لم يبدأ بعد",IF(J281&lt;TODAY(),"منتهٍ",IF(J281-TODAY()&lt;='القوائم والإعدادات'!$E$2,"قريب الانتهاء","ساري")))))</f>
        <v/>
      </c>
      <c r="S281" s="7" t="str">
        <f t="shared" ca="1" si="15"/>
        <v/>
      </c>
      <c r="T281" s="7" t="str">
        <f ca="1">IF(OR(R281="ساري",R281="قريب الانتهاء"),IF(S281&lt;='القوائم والإعدادات'!$E$4,"عاجل",IF(S281&lt;='القوائم والإعدادات'!$E$3,"خلال 60 يوم",IF(S281&lt;='القوائم والإعدادات'!$E$2,"خلال 90 يوم",""))),"")</f>
        <v/>
      </c>
      <c r="U281" s="7" t="str">
        <f>IF(B281="","",COUNTIF(التمديدات!$A$2:$A$301,B281))</f>
        <v/>
      </c>
      <c r="V281" s="10"/>
      <c r="W281" s="10"/>
      <c r="X281" s="7" t="str">
        <f t="shared" si="16"/>
        <v/>
      </c>
    </row>
    <row r="282" spans="1:24">
      <c r="A282" s="7">
        <v>281</v>
      </c>
      <c r="B282" s="10"/>
      <c r="C282" s="10"/>
      <c r="D282" s="10"/>
      <c r="E282" s="10"/>
      <c r="F282" s="10"/>
      <c r="G282" s="11"/>
      <c r="H282" s="11"/>
      <c r="I282" s="11"/>
      <c r="J282" s="12" t="str">
        <f>IF(B282="","",MAX(I282,_xlfn.MAXIFS(التمديدات!$C$2:$C$301,التمديدات!$A$2:$A$301,B282)))</f>
        <v/>
      </c>
      <c r="K282" s="7" t="str">
        <f t="shared" si="14"/>
        <v/>
      </c>
      <c r="L282" s="26"/>
      <c r="M282" s="27"/>
      <c r="N282" s="10"/>
      <c r="O282" s="10"/>
      <c r="P282" s="10"/>
      <c r="Q282" s="10"/>
      <c r="R282" s="7" t="str">
        <f ca="1">IF(B282="","",IF(Q282&lt;&gt;"",Q282,IF(H282&gt;TODAY(),"لم يبدأ بعد",IF(J282&lt;TODAY(),"منتهٍ",IF(J282-TODAY()&lt;='القوائم والإعدادات'!$E$2,"قريب الانتهاء","ساري")))))</f>
        <v/>
      </c>
      <c r="S282" s="7" t="str">
        <f t="shared" ca="1" si="15"/>
        <v/>
      </c>
      <c r="T282" s="7" t="str">
        <f ca="1">IF(OR(R282="ساري",R282="قريب الانتهاء"),IF(S282&lt;='القوائم والإعدادات'!$E$4,"عاجل",IF(S282&lt;='القوائم والإعدادات'!$E$3,"خلال 60 يوم",IF(S282&lt;='القوائم والإعدادات'!$E$2,"خلال 90 يوم",""))),"")</f>
        <v/>
      </c>
      <c r="U282" s="7" t="str">
        <f>IF(B282="","",COUNTIF(التمديدات!$A$2:$A$301,B282))</f>
        <v/>
      </c>
      <c r="V282" s="10"/>
      <c r="W282" s="10"/>
      <c r="X282" s="7" t="str">
        <f t="shared" si="16"/>
        <v/>
      </c>
    </row>
    <row r="283" spans="1:24">
      <c r="A283" s="7">
        <v>282</v>
      </c>
      <c r="B283" s="10"/>
      <c r="C283" s="10"/>
      <c r="D283" s="10"/>
      <c r="E283" s="10"/>
      <c r="F283" s="10"/>
      <c r="G283" s="11"/>
      <c r="H283" s="11"/>
      <c r="I283" s="11"/>
      <c r="J283" s="12" t="str">
        <f>IF(B283="","",MAX(I283,_xlfn.MAXIFS(التمديدات!$C$2:$C$301,التمديدات!$A$2:$A$301,B283)))</f>
        <v/>
      </c>
      <c r="K283" s="7" t="str">
        <f t="shared" si="14"/>
        <v/>
      </c>
      <c r="L283" s="26"/>
      <c r="M283" s="27"/>
      <c r="N283" s="10"/>
      <c r="O283" s="10"/>
      <c r="P283" s="10"/>
      <c r="Q283" s="10"/>
      <c r="R283" s="7" t="str">
        <f ca="1">IF(B283="","",IF(Q283&lt;&gt;"",Q283,IF(H283&gt;TODAY(),"لم يبدأ بعد",IF(J283&lt;TODAY(),"منتهٍ",IF(J283-TODAY()&lt;='القوائم والإعدادات'!$E$2,"قريب الانتهاء","ساري")))))</f>
        <v/>
      </c>
      <c r="S283" s="7" t="str">
        <f t="shared" ca="1" si="15"/>
        <v/>
      </c>
      <c r="T283" s="7" t="str">
        <f ca="1">IF(OR(R283="ساري",R283="قريب الانتهاء"),IF(S283&lt;='القوائم والإعدادات'!$E$4,"عاجل",IF(S283&lt;='القوائم والإعدادات'!$E$3,"خلال 60 يوم",IF(S283&lt;='القوائم والإعدادات'!$E$2,"خلال 90 يوم",""))),"")</f>
        <v/>
      </c>
      <c r="U283" s="7" t="str">
        <f>IF(B283="","",COUNTIF(التمديدات!$A$2:$A$301,B283))</f>
        <v/>
      </c>
      <c r="V283" s="10"/>
      <c r="W283" s="10"/>
      <c r="X283" s="7" t="str">
        <f t="shared" si="16"/>
        <v/>
      </c>
    </row>
    <row r="284" spans="1:24">
      <c r="A284" s="7">
        <v>283</v>
      </c>
      <c r="B284" s="10"/>
      <c r="C284" s="10"/>
      <c r="D284" s="10"/>
      <c r="E284" s="10"/>
      <c r="F284" s="10"/>
      <c r="G284" s="11"/>
      <c r="H284" s="11"/>
      <c r="I284" s="11"/>
      <c r="J284" s="12" t="str">
        <f>IF(B284="","",MAX(I284,_xlfn.MAXIFS(التمديدات!$C$2:$C$301,التمديدات!$A$2:$A$301,B284)))</f>
        <v/>
      </c>
      <c r="K284" s="7" t="str">
        <f t="shared" si="14"/>
        <v/>
      </c>
      <c r="L284" s="26"/>
      <c r="M284" s="27"/>
      <c r="N284" s="10"/>
      <c r="O284" s="10"/>
      <c r="P284" s="10"/>
      <c r="Q284" s="10"/>
      <c r="R284" s="7" t="str">
        <f ca="1">IF(B284="","",IF(Q284&lt;&gt;"",Q284,IF(H284&gt;TODAY(),"لم يبدأ بعد",IF(J284&lt;TODAY(),"منتهٍ",IF(J284-TODAY()&lt;='القوائم والإعدادات'!$E$2,"قريب الانتهاء","ساري")))))</f>
        <v/>
      </c>
      <c r="S284" s="7" t="str">
        <f t="shared" ca="1" si="15"/>
        <v/>
      </c>
      <c r="T284" s="7" t="str">
        <f ca="1">IF(OR(R284="ساري",R284="قريب الانتهاء"),IF(S284&lt;='القوائم والإعدادات'!$E$4,"عاجل",IF(S284&lt;='القوائم والإعدادات'!$E$3,"خلال 60 يوم",IF(S284&lt;='القوائم والإعدادات'!$E$2,"خلال 90 يوم",""))),"")</f>
        <v/>
      </c>
      <c r="U284" s="7" t="str">
        <f>IF(B284="","",COUNTIF(التمديدات!$A$2:$A$301,B284))</f>
        <v/>
      </c>
      <c r="V284" s="10"/>
      <c r="W284" s="10"/>
      <c r="X284" s="7" t="str">
        <f t="shared" si="16"/>
        <v/>
      </c>
    </row>
    <row r="285" spans="1:24">
      <c r="A285" s="7">
        <v>284</v>
      </c>
      <c r="B285" s="10"/>
      <c r="C285" s="10"/>
      <c r="D285" s="10"/>
      <c r="E285" s="10"/>
      <c r="F285" s="10"/>
      <c r="G285" s="11"/>
      <c r="H285" s="11"/>
      <c r="I285" s="11"/>
      <c r="J285" s="12" t="str">
        <f>IF(B285="","",MAX(I285,_xlfn.MAXIFS(التمديدات!$C$2:$C$301,التمديدات!$A$2:$A$301,B285)))</f>
        <v/>
      </c>
      <c r="K285" s="7" t="str">
        <f t="shared" si="14"/>
        <v/>
      </c>
      <c r="L285" s="26"/>
      <c r="M285" s="27"/>
      <c r="N285" s="10"/>
      <c r="O285" s="10"/>
      <c r="P285" s="10"/>
      <c r="Q285" s="10"/>
      <c r="R285" s="7" t="str">
        <f ca="1">IF(B285="","",IF(Q285&lt;&gt;"",Q285,IF(H285&gt;TODAY(),"لم يبدأ بعد",IF(J285&lt;TODAY(),"منتهٍ",IF(J285-TODAY()&lt;='القوائم والإعدادات'!$E$2,"قريب الانتهاء","ساري")))))</f>
        <v/>
      </c>
      <c r="S285" s="7" t="str">
        <f t="shared" ca="1" si="15"/>
        <v/>
      </c>
      <c r="T285" s="7" t="str">
        <f ca="1">IF(OR(R285="ساري",R285="قريب الانتهاء"),IF(S285&lt;='القوائم والإعدادات'!$E$4,"عاجل",IF(S285&lt;='القوائم والإعدادات'!$E$3,"خلال 60 يوم",IF(S285&lt;='القوائم والإعدادات'!$E$2,"خلال 90 يوم",""))),"")</f>
        <v/>
      </c>
      <c r="U285" s="7" t="str">
        <f>IF(B285="","",COUNTIF(التمديدات!$A$2:$A$301,B285))</f>
        <v/>
      </c>
      <c r="V285" s="10"/>
      <c r="W285" s="10"/>
      <c r="X285" s="7" t="str">
        <f t="shared" si="16"/>
        <v/>
      </c>
    </row>
    <row r="286" spans="1:24">
      <c r="A286" s="7">
        <v>285</v>
      </c>
      <c r="B286" s="10"/>
      <c r="C286" s="10"/>
      <c r="D286" s="10"/>
      <c r="E286" s="10"/>
      <c r="F286" s="10"/>
      <c r="G286" s="11"/>
      <c r="H286" s="11"/>
      <c r="I286" s="11"/>
      <c r="J286" s="12" t="str">
        <f>IF(B286="","",MAX(I286,_xlfn.MAXIFS(التمديدات!$C$2:$C$301,التمديدات!$A$2:$A$301,B286)))</f>
        <v/>
      </c>
      <c r="K286" s="7" t="str">
        <f t="shared" si="14"/>
        <v/>
      </c>
      <c r="L286" s="26"/>
      <c r="M286" s="27"/>
      <c r="N286" s="10"/>
      <c r="O286" s="10"/>
      <c r="P286" s="10"/>
      <c r="Q286" s="10"/>
      <c r="R286" s="7" t="str">
        <f ca="1">IF(B286="","",IF(Q286&lt;&gt;"",Q286,IF(H286&gt;TODAY(),"لم يبدأ بعد",IF(J286&lt;TODAY(),"منتهٍ",IF(J286-TODAY()&lt;='القوائم والإعدادات'!$E$2,"قريب الانتهاء","ساري")))))</f>
        <v/>
      </c>
      <c r="S286" s="7" t="str">
        <f t="shared" ca="1" si="15"/>
        <v/>
      </c>
      <c r="T286" s="7" t="str">
        <f ca="1">IF(OR(R286="ساري",R286="قريب الانتهاء"),IF(S286&lt;='القوائم والإعدادات'!$E$4,"عاجل",IF(S286&lt;='القوائم والإعدادات'!$E$3,"خلال 60 يوم",IF(S286&lt;='القوائم والإعدادات'!$E$2,"خلال 90 يوم",""))),"")</f>
        <v/>
      </c>
      <c r="U286" s="7" t="str">
        <f>IF(B286="","",COUNTIF(التمديدات!$A$2:$A$301,B286))</f>
        <v/>
      </c>
      <c r="V286" s="10"/>
      <c r="W286" s="10"/>
      <c r="X286" s="7" t="str">
        <f t="shared" si="16"/>
        <v/>
      </c>
    </row>
    <row r="287" spans="1:24">
      <c r="A287" s="7">
        <v>286</v>
      </c>
      <c r="B287" s="10"/>
      <c r="C287" s="10"/>
      <c r="D287" s="10"/>
      <c r="E287" s="10"/>
      <c r="F287" s="10"/>
      <c r="G287" s="11"/>
      <c r="H287" s="11"/>
      <c r="I287" s="11"/>
      <c r="J287" s="12" t="str">
        <f>IF(B287="","",MAX(I287,_xlfn.MAXIFS(التمديدات!$C$2:$C$301,التمديدات!$A$2:$A$301,B287)))</f>
        <v/>
      </c>
      <c r="K287" s="7" t="str">
        <f t="shared" si="14"/>
        <v/>
      </c>
      <c r="L287" s="26"/>
      <c r="M287" s="27"/>
      <c r="N287" s="10"/>
      <c r="O287" s="10"/>
      <c r="P287" s="10"/>
      <c r="Q287" s="10"/>
      <c r="R287" s="7" t="str">
        <f ca="1">IF(B287="","",IF(Q287&lt;&gt;"",Q287,IF(H287&gt;TODAY(),"لم يبدأ بعد",IF(J287&lt;TODAY(),"منتهٍ",IF(J287-TODAY()&lt;='القوائم والإعدادات'!$E$2,"قريب الانتهاء","ساري")))))</f>
        <v/>
      </c>
      <c r="S287" s="7" t="str">
        <f t="shared" ca="1" si="15"/>
        <v/>
      </c>
      <c r="T287" s="7" t="str">
        <f ca="1">IF(OR(R287="ساري",R287="قريب الانتهاء"),IF(S287&lt;='القوائم والإعدادات'!$E$4,"عاجل",IF(S287&lt;='القوائم والإعدادات'!$E$3,"خلال 60 يوم",IF(S287&lt;='القوائم والإعدادات'!$E$2,"خلال 90 يوم",""))),"")</f>
        <v/>
      </c>
      <c r="U287" s="7" t="str">
        <f>IF(B287="","",COUNTIF(التمديدات!$A$2:$A$301,B287))</f>
        <v/>
      </c>
      <c r="V287" s="10"/>
      <c r="W287" s="10"/>
      <c r="X287" s="7" t="str">
        <f t="shared" si="16"/>
        <v/>
      </c>
    </row>
    <row r="288" spans="1:24">
      <c r="A288" s="7">
        <v>287</v>
      </c>
      <c r="B288" s="10"/>
      <c r="C288" s="10"/>
      <c r="D288" s="10"/>
      <c r="E288" s="10"/>
      <c r="F288" s="10"/>
      <c r="G288" s="11"/>
      <c r="H288" s="11"/>
      <c r="I288" s="11"/>
      <c r="J288" s="12" t="str">
        <f>IF(B288="","",MAX(I288,_xlfn.MAXIFS(التمديدات!$C$2:$C$301,التمديدات!$A$2:$A$301,B288)))</f>
        <v/>
      </c>
      <c r="K288" s="7" t="str">
        <f t="shared" si="14"/>
        <v/>
      </c>
      <c r="L288" s="26"/>
      <c r="M288" s="27"/>
      <c r="N288" s="10"/>
      <c r="O288" s="10"/>
      <c r="P288" s="10"/>
      <c r="Q288" s="10"/>
      <c r="R288" s="7" t="str">
        <f ca="1">IF(B288="","",IF(Q288&lt;&gt;"",Q288,IF(H288&gt;TODAY(),"لم يبدأ بعد",IF(J288&lt;TODAY(),"منتهٍ",IF(J288-TODAY()&lt;='القوائم والإعدادات'!$E$2,"قريب الانتهاء","ساري")))))</f>
        <v/>
      </c>
      <c r="S288" s="7" t="str">
        <f t="shared" ca="1" si="15"/>
        <v/>
      </c>
      <c r="T288" s="7" t="str">
        <f ca="1">IF(OR(R288="ساري",R288="قريب الانتهاء"),IF(S288&lt;='القوائم والإعدادات'!$E$4,"عاجل",IF(S288&lt;='القوائم والإعدادات'!$E$3,"خلال 60 يوم",IF(S288&lt;='القوائم والإعدادات'!$E$2,"خلال 90 يوم",""))),"")</f>
        <v/>
      </c>
      <c r="U288" s="7" t="str">
        <f>IF(B288="","",COUNTIF(التمديدات!$A$2:$A$301,B288))</f>
        <v/>
      </c>
      <c r="V288" s="10"/>
      <c r="W288" s="10"/>
      <c r="X288" s="7" t="str">
        <f t="shared" si="16"/>
        <v/>
      </c>
    </row>
    <row r="289" spans="1:24">
      <c r="A289" s="7">
        <v>288</v>
      </c>
      <c r="B289" s="10"/>
      <c r="C289" s="10"/>
      <c r="D289" s="10"/>
      <c r="E289" s="10"/>
      <c r="F289" s="10"/>
      <c r="G289" s="11"/>
      <c r="H289" s="11"/>
      <c r="I289" s="11"/>
      <c r="J289" s="12" t="str">
        <f>IF(B289="","",MAX(I289,_xlfn.MAXIFS(التمديدات!$C$2:$C$301,التمديدات!$A$2:$A$301,B289)))</f>
        <v/>
      </c>
      <c r="K289" s="7" t="str">
        <f t="shared" si="14"/>
        <v/>
      </c>
      <c r="L289" s="26"/>
      <c r="M289" s="27"/>
      <c r="N289" s="10"/>
      <c r="O289" s="10"/>
      <c r="P289" s="10"/>
      <c r="Q289" s="10"/>
      <c r="R289" s="7" t="str">
        <f ca="1">IF(B289="","",IF(Q289&lt;&gt;"",Q289,IF(H289&gt;TODAY(),"لم يبدأ بعد",IF(J289&lt;TODAY(),"منتهٍ",IF(J289-TODAY()&lt;='القوائم والإعدادات'!$E$2,"قريب الانتهاء","ساري")))))</f>
        <v/>
      </c>
      <c r="S289" s="7" t="str">
        <f t="shared" ca="1" si="15"/>
        <v/>
      </c>
      <c r="T289" s="7" t="str">
        <f ca="1">IF(OR(R289="ساري",R289="قريب الانتهاء"),IF(S289&lt;='القوائم والإعدادات'!$E$4,"عاجل",IF(S289&lt;='القوائم والإعدادات'!$E$3,"خلال 60 يوم",IF(S289&lt;='القوائم والإعدادات'!$E$2,"خلال 90 يوم",""))),"")</f>
        <v/>
      </c>
      <c r="U289" s="7" t="str">
        <f>IF(B289="","",COUNTIF(التمديدات!$A$2:$A$301,B289))</f>
        <v/>
      </c>
      <c r="V289" s="10"/>
      <c r="W289" s="10"/>
      <c r="X289" s="7" t="str">
        <f t="shared" si="16"/>
        <v/>
      </c>
    </row>
    <row r="290" spans="1:24">
      <c r="A290" s="7">
        <v>289</v>
      </c>
      <c r="B290" s="10"/>
      <c r="C290" s="10"/>
      <c r="D290" s="10"/>
      <c r="E290" s="10"/>
      <c r="F290" s="10"/>
      <c r="G290" s="11"/>
      <c r="H290" s="11"/>
      <c r="I290" s="11"/>
      <c r="J290" s="12" t="str">
        <f>IF(B290="","",MAX(I290,_xlfn.MAXIFS(التمديدات!$C$2:$C$301,التمديدات!$A$2:$A$301,B290)))</f>
        <v/>
      </c>
      <c r="K290" s="7" t="str">
        <f t="shared" si="14"/>
        <v/>
      </c>
      <c r="L290" s="26"/>
      <c r="M290" s="27"/>
      <c r="N290" s="10"/>
      <c r="O290" s="10"/>
      <c r="P290" s="10"/>
      <c r="Q290" s="10"/>
      <c r="R290" s="7" t="str">
        <f ca="1">IF(B290="","",IF(Q290&lt;&gt;"",Q290,IF(H290&gt;TODAY(),"لم يبدأ بعد",IF(J290&lt;TODAY(),"منتهٍ",IF(J290-TODAY()&lt;='القوائم والإعدادات'!$E$2,"قريب الانتهاء","ساري")))))</f>
        <v/>
      </c>
      <c r="S290" s="7" t="str">
        <f t="shared" ca="1" si="15"/>
        <v/>
      </c>
      <c r="T290" s="7" t="str">
        <f ca="1">IF(OR(R290="ساري",R290="قريب الانتهاء"),IF(S290&lt;='القوائم والإعدادات'!$E$4,"عاجل",IF(S290&lt;='القوائم والإعدادات'!$E$3,"خلال 60 يوم",IF(S290&lt;='القوائم والإعدادات'!$E$2,"خلال 90 يوم",""))),"")</f>
        <v/>
      </c>
      <c r="U290" s="7" t="str">
        <f>IF(B290="","",COUNTIF(التمديدات!$A$2:$A$301,B290))</f>
        <v/>
      </c>
      <c r="V290" s="10"/>
      <c r="W290" s="10"/>
      <c r="X290" s="7" t="str">
        <f t="shared" si="16"/>
        <v/>
      </c>
    </row>
    <row r="291" spans="1:24">
      <c r="A291" s="7">
        <v>290</v>
      </c>
      <c r="B291" s="10"/>
      <c r="C291" s="10"/>
      <c r="D291" s="10"/>
      <c r="E291" s="10"/>
      <c r="F291" s="10"/>
      <c r="G291" s="11"/>
      <c r="H291" s="11"/>
      <c r="I291" s="11"/>
      <c r="J291" s="12" t="str">
        <f>IF(B291="","",MAX(I291,_xlfn.MAXIFS(التمديدات!$C$2:$C$301,التمديدات!$A$2:$A$301,B291)))</f>
        <v/>
      </c>
      <c r="K291" s="7" t="str">
        <f t="shared" si="14"/>
        <v/>
      </c>
      <c r="L291" s="26"/>
      <c r="M291" s="27"/>
      <c r="N291" s="10"/>
      <c r="O291" s="10"/>
      <c r="P291" s="10"/>
      <c r="Q291" s="10"/>
      <c r="R291" s="7" t="str">
        <f ca="1">IF(B291="","",IF(Q291&lt;&gt;"",Q291,IF(H291&gt;TODAY(),"لم يبدأ بعد",IF(J291&lt;TODAY(),"منتهٍ",IF(J291-TODAY()&lt;='القوائم والإعدادات'!$E$2,"قريب الانتهاء","ساري")))))</f>
        <v/>
      </c>
      <c r="S291" s="7" t="str">
        <f t="shared" ca="1" si="15"/>
        <v/>
      </c>
      <c r="T291" s="7" t="str">
        <f ca="1">IF(OR(R291="ساري",R291="قريب الانتهاء"),IF(S291&lt;='القوائم والإعدادات'!$E$4,"عاجل",IF(S291&lt;='القوائم والإعدادات'!$E$3,"خلال 60 يوم",IF(S291&lt;='القوائم والإعدادات'!$E$2,"خلال 90 يوم",""))),"")</f>
        <v/>
      </c>
      <c r="U291" s="7" t="str">
        <f>IF(B291="","",COUNTIF(التمديدات!$A$2:$A$301,B291))</f>
        <v/>
      </c>
      <c r="V291" s="10"/>
      <c r="W291" s="10"/>
      <c r="X291" s="7" t="str">
        <f t="shared" si="16"/>
        <v/>
      </c>
    </row>
    <row r="292" spans="1:24">
      <c r="A292" s="7">
        <v>291</v>
      </c>
      <c r="B292" s="10"/>
      <c r="C292" s="10"/>
      <c r="D292" s="10"/>
      <c r="E292" s="10"/>
      <c r="F292" s="10"/>
      <c r="G292" s="11"/>
      <c r="H292" s="11"/>
      <c r="I292" s="11"/>
      <c r="J292" s="12" t="str">
        <f>IF(B292="","",MAX(I292,_xlfn.MAXIFS(التمديدات!$C$2:$C$301,التمديدات!$A$2:$A$301,B292)))</f>
        <v/>
      </c>
      <c r="K292" s="7" t="str">
        <f t="shared" si="14"/>
        <v/>
      </c>
      <c r="L292" s="26"/>
      <c r="M292" s="27"/>
      <c r="N292" s="10"/>
      <c r="O292" s="10"/>
      <c r="P292" s="10"/>
      <c r="Q292" s="10"/>
      <c r="R292" s="7" t="str">
        <f ca="1">IF(B292="","",IF(Q292&lt;&gt;"",Q292,IF(H292&gt;TODAY(),"لم يبدأ بعد",IF(J292&lt;TODAY(),"منتهٍ",IF(J292-TODAY()&lt;='القوائم والإعدادات'!$E$2,"قريب الانتهاء","ساري")))))</f>
        <v/>
      </c>
      <c r="S292" s="7" t="str">
        <f t="shared" ca="1" si="15"/>
        <v/>
      </c>
      <c r="T292" s="7" t="str">
        <f ca="1">IF(OR(R292="ساري",R292="قريب الانتهاء"),IF(S292&lt;='القوائم والإعدادات'!$E$4,"عاجل",IF(S292&lt;='القوائم والإعدادات'!$E$3,"خلال 60 يوم",IF(S292&lt;='القوائم والإعدادات'!$E$2,"خلال 90 يوم",""))),"")</f>
        <v/>
      </c>
      <c r="U292" s="7" t="str">
        <f>IF(B292="","",COUNTIF(التمديدات!$A$2:$A$301,B292))</f>
        <v/>
      </c>
      <c r="V292" s="10"/>
      <c r="W292" s="10"/>
      <c r="X292" s="7" t="str">
        <f t="shared" si="16"/>
        <v/>
      </c>
    </row>
    <row r="293" spans="1:24">
      <c r="A293" s="7">
        <v>292</v>
      </c>
      <c r="B293" s="10"/>
      <c r="C293" s="10"/>
      <c r="D293" s="10"/>
      <c r="E293" s="10"/>
      <c r="F293" s="10"/>
      <c r="G293" s="11"/>
      <c r="H293" s="11"/>
      <c r="I293" s="11"/>
      <c r="J293" s="12" t="str">
        <f>IF(B293="","",MAX(I293,_xlfn.MAXIFS(التمديدات!$C$2:$C$301,التمديدات!$A$2:$A$301,B293)))</f>
        <v/>
      </c>
      <c r="K293" s="7" t="str">
        <f t="shared" si="14"/>
        <v/>
      </c>
      <c r="L293" s="26"/>
      <c r="M293" s="27"/>
      <c r="N293" s="10"/>
      <c r="O293" s="10"/>
      <c r="P293" s="10"/>
      <c r="Q293" s="10"/>
      <c r="R293" s="7" t="str">
        <f ca="1">IF(B293="","",IF(Q293&lt;&gt;"",Q293,IF(H293&gt;TODAY(),"لم يبدأ بعد",IF(J293&lt;TODAY(),"منتهٍ",IF(J293-TODAY()&lt;='القوائم والإعدادات'!$E$2,"قريب الانتهاء","ساري")))))</f>
        <v/>
      </c>
      <c r="S293" s="7" t="str">
        <f t="shared" ca="1" si="15"/>
        <v/>
      </c>
      <c r="T293" s="7" t="str">
        <f ca="1">IF(OR(R293="ساري",R293="قريب الانتهاء"),IF(S293&lt;='القوائم والإعدادات'!$E$4,"عاجل",IF(S293&lt;='القوائم والإعدادات'!$E$3,"خلال 60 يوم",IF(S293&lt;='القوائم والإعدادات'!$E$2,"خلال 90 يوم",""))),"")</f>
        <v/>
      </c>
      <c r="U293" s="7" t="str">
        <f>IF(B293="","",COUNTIF(التمديدات!$A$2:$A$301,B293))</f>
        <v/>
      </c>
      <c r="V293" s="10"/>
      <c r="W293" s="10"/>
      <c r="X293" s="7" t="str">
        <f t="shared" si="16"/>
        <v/>
      </c>
    </row>
    <row r="294" spans="1:24">
      <c r="A294" s="7">
        <v>293</v>
      </c>
      <c r="B294" s="10"/>
      <c r="C294" s="10"/>
      <c r="D294" s="10"/>
      <c r="E294" s="10"/>
      <c r="F294" s="10"/>
      <c r="G294" s="11"/>
      <c r="H294" s="11"/>
      <c r="I294" s="11"/>
      <c r="J294" s="12" t="str">
        <f>IF(B294="","",MAX(I294,_xlfn.MAXIFS(التمديدات!$C$2:$C$301,التمديدات!$A$2:$A$301,B294)))</f>
        <v/>
      </c>
      <c r="K294" s="7" t="str">
        <f t="shared" si="14"/>
        <v/>
      </c>
      <c r="L294" s="26"/>
      <c r="M294" s="27"/>
      <c r="N294" s="10"/>
      <c r="O294" s="10"/>
      <c r="P294" s="10"/>
      <c r="Q294" s="10"/>
      <c r="R294" s="7" t="str">
        <f ca="1">IF(B294="","",IF(Q294&lt;&gt;"",Q294,IF(H294&gt;TODAY(),"لم يبدأ بعد",IF(J294&lt;TODAY(),"منتهٍ",IF(J294-TODAY()&lt;='القوائم والإعدادات'!$E$2,"قريب الانتهاء","ساري")))))</f>
        <v/>
      </c>
      <c r="S294" s="7" t="str">
        <f t="shared" ca="1" si="15"/>
        <v/>
      </c>
      <c r="T294" s="7" t="str">
        <f ca="1">IF(OR(R294="ساري",R294="قريب الانتهاء"),IF(S294&lt;='القوائم والإعدادات'!$E$4,"عاجل",IF(S294&lt;='القوائم والإعدادات'!$E$3,"خلال 60 يوم",IF(S294&lt;='القوائم والإعدادات'!$E$2,"خلال 90 يوم",""))),"")</f>
        <v/>
      </c>
      <c r="U294" s="7" t="str">
        <f>IF(B294="","",COUNTIF(التمديدات!$A$2:$A$301,B294))</f>
        <v/>
      </c>
      <c r="V294" s="10"/>
      <c r="W294" s="10"/>
      <c r="X294" s="7" t="str">
        <f t="shared" si="16"/>
        <v/>
      </c>
    </row>
    <row r="295" spans="1:24">
      <c r="A295" s="7">
        <v>294</v>
      </c>
      <c r="B295" s="10"/>
      <c r="C295" s="10"/>
      <c r="D295" s="10"/>
      <c r="E295" s="10"/>
      <c r="F295" s="10"/>
      <c r="G295" s="11"/>
      <c r="H295" s="11"/>
      <c r="I295" s="11"/>
      <c r="J295" s="12" t="str">
        <f>IF(B295="","",MAX(I295,_xlfn.MAXIFS(التمديدات!$C$2:$C$301,التمديدات!$A$2:$A$301,B295)))</f>
        <v/>
      </c>
      <c r="K295" s="7" t="str">
        <f t="shared" si="14"/>
        <v/>
      </c>
      <c r="L295" s="26"/>
      <c r="M295" s="27"/>
      <c r="N295" s="10"/>
      <c r="O295" s="10"/>
      <c r="P295" s="10"/>
      <c r="Q295" s="10"/>
      <c r="R295" s="7" t="str">
        <f ca="1">IF(B295="","",IF(Q295&lt;&gt;"",Q295,IF(H295&gt;TODAY(),"لم يبدأ بعد",IF(J295&lt;TODAY(),"منتهٍ",IF(J295-TODAY()&lt;='القوائم والإعدادات'!$E$2,"قريب الانتهاء","ساري")))))</f>
        <v/>
      </c>
      <c r="S295" s="7" t="str">
        <f t="shared" ca="1" si="15"/>
        <v/>
      </c>
      <c r="T295" s="7" t="str">
        <f ca="1">IF(OR(R295="ساري",R295="قريب الانتهاء"),IF(S295&lt;='القوائم والإعدادات'!$E$4,"عاجل",IF(S295&lt;='القوائم والإعدادات'!$E$3,"خلال 60 يوم",IF(S295&lt;='القوائم والإعدادات'!$E$2,"خلال 90 يوم",""))),"")</f>
        <v/>
      </c>
      <c r="U295" s="7" t="str">
        <f>IF(B295="","",COUNTIF(التمديدات!$A$2:$A$301,B295))</f>
        <v/>
      </c>
      <c r="V295" s="10"/>
      <c r="W295" s="10"/>
      <c r="X295" s="7" t="str">
        <f t="shared" si="16"/>
        <v/>
      </c>
    </row>
    <row r="296" spans="1:24">
      <c r="A296" s="7">
        <v>295</v>
      </c>
      <c r="B296" s="10"/>
      <c r="C296" s="10"/>
      <c r="D296" s="10"/>
      <c r="E296" s="10"/>
      <c r="F296" s="10"/>
      <c r="G296" s="11"/>
      <c r="H296" s="11"/>
      <c r="I296" s="11"/>
      <c r="J296" s="12" t="str">
        <f>IF(B296="","",MAX(I296,_xlfn.MAXIFS(التمديدات!$C$2:$C$301,التمديدات!$A$2:$A$301,B296)))</f>
        <v/>
      </c>
      <c r="K296" s="7" t="str">
        <f t="shared" si="14"/>
        <v/>
      </c>
      <c r="L296" s="26"/>
      <c r="M296" s="27"/>
      <c r="N296" s="10"/>
      <c r="O296" s="10"/>
      <c r="P296" s="10"/>
      <c r="Q296" s="10"/>
      <c r="R296" s="7" t="str">
        <f ca="1">IF(B296="","",IF(Q296&lt;&gt;"",Q296,IF(H296&gt;TODAY(),"لم يبدأ بعد",IF(J296&lt;TODAY(),"منتهٍ",IF(J296-TODAY()&lt;='القوائم والإعدادات'!$E$2,"قريب الانتهاء","ساري")))))</f>
        <v/>
      </c>
      <c r="S296" s="7" t="str">
        <f t="shared" ca="1" si="15"/>
        <v/>
      </c>
      <c r="T296" s="7" t="str">
        <f ca="1">IF(OR(R296="ساري",R296="قريب الانتهاء"),IF(S296&lt;='القوائم والإعدادات'!$E$4,"عاجل",IF(S296&lt;='القوائم والإعدادات'!$E$3,"خلال 60 يوم",IF(S296&lt;='القوائم والإعدادات'!$E$2,"خلال 90 يوم",""))),"")</f>
        <v/>
      </c>
      <c r="U296" s="7" t="str">
        <f>IF(B296="","",COUNTIF(التمديدات!$A$2:$A$301,B296))</f>
        <v/>
      </c>
      <c r="V296" s="10"/>
      <c r="W296" s="10"/>
      <c r="X296" s="7" t="str">
        <f t="shared" si="16"/>
        <v/>
      </c>
    </row>
    <row r="297" spans="1:24">
      <c r="A297" s="7">
        <v>296</v>
      </c>
      <c r="B297" s="10"/>
      <c r="C297" s="10"/>
      <c r="D297" s="10"/>
      <c r="E297" s="10"/>
      <c r="F297" s="10"/>
      <c r="G297" s="11"/>
      <c r="H297" s="11"/>
      <c r="I297" s="11"/>
      <c r="J297" s="12" t="str">
        <f>IF(B297="","",MAX(I297,_xlfn.MAXIFS(التمديدات!$C$2:$C$301,التمديدات!$A$2:$A$301,B297)))</f>
        <v/>
      </c>
      <c r="K297" s="7" t="str">
        <f t="shared" si="14"/>
        <v/>
      </c>
      <c r="L297" s="26"/>
      <c r="M297" s="27"/>
      <c r="N297" s="10"/>
      <c r="O297" s="10"/>
      <c r="P297" s="10"/>
      <c r="Q297" s="10"/>
      <c r="R297" s="7" t="str">
        <f ca="1">IF(B297="","",IF(Q297&lt;&gt;"",Q297,IF(H297&gt;TODAY(),"لم يبدأ بعد",IF(J297&lt;TODAY(),"منتهٍ",IF(J297-TODAY()&lt;='القوائم والإعدادات'!$E$2,"قريب الانتهاء","ساري")))))</f>
        <v/>
      </c>
      <c r="S297" s="7" t="str">
        <f t="shared" ca="1" si="15"/>
        <v/>
      </c>
      <c r="T297" s="7" t="str">
        <f ca="1">IF(OR(R297="ساري",R297="قريب الانتهاء"),IF(S297&lt;='القوائم والإعدادات'!$E$4,"عاجل",IF(S297&lt;='القوائم والإعدادات'!$E$3,"خلال 60 يوم",IF(S297&lt;='القوائم والإعدادات'!$E$2,"خلال 90 يوم",""))),"")</f>
        <v/>
      </c>
      <c r="U297" s="7" t="str">
        <f>IF(B297="","",COUNTIF(التمديدات!$A$2:$A$301,B297))</f>
        <v/>
      </c>
      <c r="V297" s="10"/>
      <c r="W297" s="10"/>
      <c r="X297" s="7" t="str">
        <f t="shared" si="16"/>
        <v/>
      </c>
    </row>
    <row r="298" spans="1:24">
      <c r="A298" s="7">
        <v>297</v>
      </c>
      <c r="B298" s="10"/>
      <c r="C298" s="10"/>
      <c r="D298" s="10"/>
      <c r="E298" s="10"/>
      <c r="F298" s="10"/>
      <c r="G298" s="11"/>
      <c r="H298" s="11"/>
      <c r="I298" s="11"/>
      <c r="J298" s="12" t="str">
        <f>IF(B298="","",MAX(I298,_xlfn.MAXIFS(التمديدات!$C$2:$C$301,التمديدات!$A$2:$A$301,B298)))</f>
        <v/>
      </c>
      <c r="K298" s="7" t="str">
        <f t="shared" si="14"/>
        <v/>
      </c>
      <c r="L298" s="26"/>
      <c r="M298" s="27"/>
      <c r="N298" s="10"/>
      <c r="O298" s="10"/>
      <c r="P298" s="10"/>
      <c r="Q298" s="10"/>
      <c r="R298" s="7" t="str">
        <f ca="1">IF(B298="","",IF(Q298&lt;&gt;"",Q298,IF(H298&gt;TODAY(),"لم يبدأ بعد",IF(J298&lt;TODAY(),"منتهٍ",IF(J298-TODAY()&lt;='القوائم والإعدادات'!$E$2,"قريب الانتهاء","ساري")))))</f>
        <v/>
      </c>
      <c r="S298" s="7" t="str">
        <f t="shared" ca="1" si="15"/>
        <v/>
      </c>
      <c r="T298" s="7" t="str">
        <f ca="1">IF(OR(R298="ساري",R298="قريب الانتهاء"),IF(S298&lt;='القوائم والإعدادات'!$E$4,"عاجل",IF(S298&lt;='القوائم والإعدادات'!$E$3,"خلال 60 يوم",IF(S298&lt;='القوائم والإعدادات'!$E$2,"خلال 90 يوم",""))),"")</f>
        <v/>
      </c>
      <c r="U298" s="7" t="str">
        <f>IF(B298="","",COUNTIF(التمديدات!$A$2:$A$301,B298))</f>
        <v/>
      </c>
      <c r="V298" s="10"/>
      <c r="W298" s="10"/>
      <c r="X298" s="7" t="str">
        <f t="shared" si="16"/>
        <v/>
      </c>
    </row>
    <row r="299" spans="1:24">
      <c r="A299" s="7">
        <v>298</v>
      </c>
      <c r="B299" s="10"/>
      <c r="C299" s="10"/>
      <c r="D299" s="10"/>
      <c r="E299" s="10"/>
      <c r="F299" s="10"/>
      <c r="G299" s="11"/>
      <c r="H299" s="11"/>
      <c r="I299" s="11"/>
      <c r="J299" s="12" t="str">
        <f>IF(B299="","",MAX(I299,_xlfn.MAXIFS(التمديدات!$C$2:$C$301,التمديدات!$A$2:$A$301,B299)))</f>
        <v/>
      </c>
      <c r="K299" s="7" t="str">
        <f t="shared" si="14"/>
        <v/>
      </c>
      <c r="L299" s="26"/>
      <c r="M299" s="27"/>
      <c r="N299" s="10"/>
      <c r="O299" s="10"/>
      <c r="P299" s="10"/>
      <c r="Q299" s="10"/>
      <c r="R299" s="7" t="str">
        <f ca="1">IF(B299="","",IF(Q299&lt;&gt;"",Q299,IF(H299&gt;TODAY(),"لم يبدأ بعد",IF(J299&lt;TODAY(),"منتهٍ",IF(J299-TODAY()&lt;='القوائم والإعدادات'!$E$2,"قريب الانتهاء","ساري")))))</f>
        <v/>
      </c>
      <c r="S299" s="7" t="str">
        <f t="shared" ca="1" si="15"/>
        <v/>
      </c>
      <c r="T299" s="7" t="str">
        <f ca="1">IF(OR(R299="ساري",R299="قريب الانتهاء"),IF(S299&lt;='القوائم والإعدادات'!$E$4,"عاجل",IF(S299&lt;='القوائم والإعدادات'!$E$3,"خلال 60 يوم",IF(S299&lt;='القوائم والإعدادات'!$E$2,"خلال 90 يوم",""))),"")</f>
        <v/>
      </c>
      <c r="U299" s="7" t="str">
        <f>IF(B299="","",COUNTIF(التمديدات!$A$2:$A$301,B299))</f>
        <v/>
      </c>
      <c r="V299" s="10"/>
      <c r="W299" s="10"/>
      <c r="X299" s="7" t="str">
        <f t="shared" si="16"/>
        <v/>
      </c>
    </row>
    <row r="300" spans="1:24">
      <c r="A300" s="7">
        <v>299</v>
      </c>
      <c r="B300" s="10"/>
      <c r="C300" s="10"/>
      <c r="D300" s="10"/>
      <c r="E300" s="10"/>
      <c r="F300" s="10"/>
      <c r="G300" s="11"/>
      <c r="H300" s="11"/>
      <c r="I300" s="11"/>
      <c r="J300" s="12" t="str">
        <f>IF(B300="","",MAX(I300,_xlfn.MAXIFS(التمديدات!$C$2:$C$301,التمديدات!$A$2:$A$301,B300)))</f>
        <v/>
      </c>
      <c r="K300" s="7" t="str">
        <f t="shared" si="14"/>
        <v/>
      </c>
      <c r="L300" s="26"/>
      <c r="M300" s="27"/>
      <c r="N300" s="10"/>
      <c r="O300" s="10"/>
      <c r="P300" s="10"/>
      <c r="Q300" s="10"/>
      <c r="R300" s="7" t="str">
        <f ca="1">IF(B300="","",IF(Q300&lt;&gt;"",Q300,IF(H300&gt;TODAY(),"لم يبدأ بعد",IF(J300&lt;TODAY(),"منتهٍ",IF(J300-TODAY()&lt;='القوائم والإعدادات'!$E$2,"قريب الانتهاء","ساري")))))</f>
        <v/>
      </c>
      <c r="S300" s="7" t="str">
        <f t="shared" ca="1" si="15"/>
        <v/>
      </c>
      <c r="T300" s="7" t="str">
        <f ca="1">IF(OR(R300="ساري",R300="قريب الانتهاء"),IF(S300&lt;='القوائم والإعدادات'!$E$4,"عاجل",IF(S300&lt;='القوائم والإعدادات'!$E$3,"خلال 60 يوم",IF(S300&lt;='القوائم والإعدادات'!$E$2,"خلال 90 يوم",""))),"")</f>
        <v/>
      </c>
      <c r="U300" s="7" t="str">
        <f>IF(B300="","",COUNTIF(التمديدات!$A$2:$A$301,B300))</f>
        <v/>
      </c>
      <c r="V300" s="10"/>
      <c r="W300" s="10"/>
      <c r="X300" s="7" t="str">
        <f t="shared" si="16"/>
        <v/>
      </c>
    </row>
    <row r="301" spans="1:24">
      <c r="A301" s="7">
        <v>300</v>
      </c>
      <c r="B301" s="10"/>
      <c r="C301" s="10"/>
      <c r="D301" s="10"/>
      <c r="E301" s="10"/>
      <c r="F301" s="10"/>
      <c r="G301" s="11"/>
      <c r="H301" s="11"/>
      <c r="I301" s="11"/>
      <c r="J301" s="12" t="str">
        <f>IF(B301="","",MAX(I301,_xlfn.MAXIFS(التمديدات!$C$2:$C$301,التمديدات!$A$2:$A$301,B301)))</f>
        <v/>
      </c>
      <c r="K301" s="7" t="str">
        <f t="shared" si="14"/>
        <v/>
      </c>
      <c r="L301" s="26"/>
      <c r="M301" s="27"/>
      <c r="N301" s="10"/>
      <c r="O301" s="10"/>
      <c r="P301" s="10"/>
      <c r="Q301" s="10"/>
      <c r="R301" s="7" t="str">
        <f ca="1">IF(B301="","",IF(Q301&lt;&gt;"",Q301,IF(H301&gt;TODAY(),"لم يبدأ بعد",IF(J301&lt;TODAY(),"منتهٍ",IF(J301-TODAY()&lt;='القوائم والإعدادات'!$E$2,"قريب الانتهاء","ساري")))))</f>
        <v/>
      </c>
      <c r="S301" s="7" t="str">
        <f t="shared" ca="1" si="15"/>
        <v/>
      </c>
      <c r="T301" s="7" t="str">
        <f ca="1">IF(OR(R301="ساري",R301="قريب الانتهاء"),IF(S301&lt;='القوائم والإعدادات'!$E$4,"عاجل",IF(S301&lt;='القوائم والإعدادات'!$E$3,"خلال 60 يوم",IF(S301&lt;='القوائم والإعدادات'!$E$2,"خلال 90 يوم",""))),"")</f>
        <v/>
      </c>
      <c r="U301" s="7" t="str">
        <f>IF(B301="","",COUNTIF(التمديدات!$A$2:$A$301,B301))</f>
        <v/>
      </c>
      <c r="V301" s="10"/>
      <c r="W301" s="10"/>
      <c r="X301" s="7" t="str">
        <f t="shared" si="16"/>
        <v/>
      </c>
    </row>
    <row r="302" spans="1:24">
      <c r="A302" s="7">
        <v>301</v>
      </c>
      <c r="B302" s="10"/>
      <c r="C302" s="10"/>
      <c r="D302" s="10"/>
      <c r="E302" s="10"/>
      <c r="F302" s="10"/>
      <c r="G302" s="11"/>
      <c r="H302" s="11"/>
      <c r="I302" s="11"/>
      <c r="J302" s="12" t="str">
        <f>IF(B302="","",MAX(I302,_xlfn.MAXIFS(التمديدات!$C$2:$C$301,التمديدات!$A$2:$A$301,B302)))</f>
        <v/>
      </c>
      <c r="K302" s="7" t="str">
        <f t="shared" si="14"/>
        <v/>
      </c>
      <c r="L302" s="26"/>
      <c r="M302" s="27"/>
      <c r="N302" s="10"/>
      <c r="O302" s="10"/>
      <c r="P302" s="10"/>
      <c r="Q302" s="10"/>
      <c r="R302" s="7" t="str">
        <f ca="1">IF(B302="","",IF(Q302&lt;&gt;"",Q302,IF(H302&gt;TODAY(),"لم يبدأ بعد",IF(J302&lt;TODAY(),"منتهٍ",IF(J302-TODAY()&lt;='القوائم والإعدادات'!$E$2,"قريب الانتهاء","ساري")))))</f>
        <v/>
      </c>
      <c r="S302" s="7" t="str">
        <f t="shared" ca="1" si="15"/>
        <v/>
      </c>
      <c r="T302" s="7" t="str">
        <f ca="1">IF(OR(R302="ساري",R302="قريب الانتهاء"),IF(S302&lt;='القوائم والإعدادات'!$E$4,"عاجل",IF(S302&lt;='القوائم والإعدادات'!$E$3,"خلال 60 يوم",IF(S302&lt;='القوائم والإعدادات'!$E$2,"خلال 90 يوم",""))),"")</f>
        <v/>
      </c>
      <c r="U302" s="7" t="str">
        <f>IF(B302="","",COUNTIF(التمديدات!$A$2:$A$301,B302))</f>
        <v/>
      </c>
      <c r="V302" s="10"/>
      <c r="W302" s="10"/>
      <c r="X302" s="7" t="str">
        <f t="shared" si="16"/>
        <v/>
      </c>
    </row>
    <row r="303" spans="1:24">
      <c r="A303" s="7">
        <v>302</v>
      </c>
      <c r="B303" s="10"/>
      <c r="C303" s="10"/>
      <c r="D303" s="10"/>
      <c r="E303" s="10"/>
      <c r="F303" s="10"/>
      <c r="G303" s="11"/>
      <c r="H303" s="11"/>
      <c r="I303" s="11"/>
      <c r="J303" s="12" t="str">
        <f>IF(B303="","",MAX(I303,_xlfn.MAXIFS(التمديدات!$C$2:$C$301,التمديدات!$A$2:$A$301,B303)))</f>
        <v/>
      </c>
      <c r="K303" s="7" t="str">
        <f t="shared" si="14"/>
        <v/>
      </c>
      <c r="L303" s="26"/>
      <c r="M303" s="27"/>
      <c r="N303" s="10"/>
      <c r="O303" s="10"/>
      <c r="P303" s="10"/>
      <c r="Q303" s="10"/>
      <c r="R303" s="7" t="str">
        <f ca="1">IF(B303="","",IF(Q303&lt;&gt;"",Q303,IF(H303&gt;TODAY(),"لم يبدأ بعد",IF(J303&lt;TODAY(),"منتهٍ",IF(J303-TODAY()&lt;='القوائم والإعدادات'!$E$2,"قريب الانتهاء","ساري")))))</f>
        <v/>
      </c>
      <c r="S303" s="7" t="str">
        <f t="shared" ca="1" si="15"/>
        <v/>
      </c>
      <c r="T303" s="7" t="str">
        <f ca="1">IF(OR(R303="ساري",R303="قريب الانتهاء"),IF(S303&lt;='القوائم والإعدادات'!$E$4,"عاجل",IF(S303&lt;='القوائم والإعدادات'!$E$3,"خلال 60 يوم",IF(S303&lt;='القوائم والإعدادات'!$E$2,"خلال 90 يوم",""))),"")</f>
        <v/>
      </c>
      <c r="U303" s="7" t="str">
        <f>IF(B303="","",COUNTIF(التمديدات!$A$2:$A$301,B303))</f>
        <v/>
      </c>
      <c r="V303" s="10"/>
      <c r="W303" s="10"/>
      <c r="X303" s="7" t="str">
        <f t="shared" si="16"/>
        <v/>
      </c>
    </row>
    <row r="304" spans="1:24">
      <c r="A304" s="7">
        <v>303</v>
      </c>
      <c r="B304" s="10"/>
      <c r="C304" s="10"/>
      <c r="D304" s="10"/>
      <c r="E304" s="10"/>
      <c r="F304" s="10"/>
      <c r="G304" s="11"/>
      <c r="H304" s="11"/>
      <c r="I304" s="11"/>
      <c r="J304" s="12" t="str">
        <f>IF(B304="","",MAX(I304,_xlfn.MAXIFS(التمديدات!$C$2:$C$301,التمديدات!$A$2:$A$301,B304)))</f>
        <v/>
      </c>
      <c r="K304" s="7" t="str">
        <f t="shared" si="14"/>
        <v/>
      </c>
      <c r="L304" s="26"/>
      <c r="M304" s="27"/>
      <c r="N304" s="10"/>
      <c r="O304" s="10"/>
      <c r="P304" s="10"/>
      <c r="Q304" s="10"/>
      <c r="R304" s="7" t="str">
        <f ca="1">IF(B304="","",IF(Q304&lt;&gt;"",Q304,IF(H304&gt;TODAY(),"لم يبدأ بعد",IF(J304&lt;TODAY(),"منتهٍ",IF(J304-TODAY()&lt;='القوائم والإعدادات'!$E$2,"قريب الانتهاء","ساري")))))</f>
        <v/>
      </c>
      <c r="S304" s="7" t="str">
        <f t="shared" ca="1" si="15"/>
        <v/>
      </c>
      <c r="T304" s="7" t="str">
        <f ca="1">IF(OR(R304="ساري",R304="قريب الانتهاء"),IF(S304&lt;='القوائم والإعدادات'!$E$4,"عاجل",IF(S304&lt;='القوائم والإعدادات'!$E$3,"خلال 60 يوم",IF(S304&lt;='القوائم والإعدادات'!$E$2,"خلال 90 يوم",""))),"")</f>
        <v/>
      </c>
      <c r="U304" s="7" t="str">
        <f>IF(B304="","",COUNTIF(التمديدات!$A$2:$A$301,B304))</f>
        <v/>
      </c>
      <c r="V304" s="10"/>
      <c r="W304" s="10"/>
      <c r="X304" s="7" t="str">
        <f t="shared" si="16"/>
        <v/>
      </c>
    </row>
    <row r="305" spans="1:24">
      <c r="A305" s="7">
        <v>304</v>
      </c>
      <c r="B305" s="10"/>
      <c r="C305" s="10"/>
      <c r="D305" s="10"/>
      <c r="E305" s="10"/>
      <c r="F305" s="10"/>
      <c r="G305" s="11"/>
      <c r="H305" s="11"/>
      <c r="I305" s="11"/>
      <c r="J305" s="12" t="str">
        <f>IF(B305="","",MAX(I305,_xlfn.MAXIFS(التمديدات!$C$2:$C$301,التمديدات!$A$2:$A$301,B305)))</f>
        <v/>
      </c>
      <c r="K305" s="7" t="str">
        <f t="shared" si="14"/>
        <v/>
      </c>
      <c r="L305" s="26"/>
      <c r="M305" s="27"/>
      <c r="N305" s="10"/>
      <c r="O305" s="10"/>
      <c r="P305" s="10"/>
      <c r="Q305" s="10"/>
      <c r="R305" s="7" t="str">
        <f ca="1">IF(B305="","",IF(Q305&lt;&gt;"",Q305,IF(H305&gt;TODAY(),"لم يبدأ بعد",IF(J305&lt;TODAY(),"منتهٍ",IF(J305-TODAY()&lt;='القوائم والإعدادات'!$E$2,"قريب الانتهاء","ساري")))))</f>
        <v/>
      </c>
      <c r="S305" s="7" t="str">
        <f t="shared" ca="1" si="15"/>
        <v/>
      </c>
      <c r="T305" s="7" t="str">
        <f ca="1">IF(OR(R305="ساري",R305="قريب الانتهاء"),IF(S305&lt;='القوائم والإعدادات'!$E$4,"عاجل",IF(S305&lt;='القوائم والإعدادات'!$E$3,"خلال 60 يوم",IF(S305&lt;='القوائم والإعدادات'!$E$2,"خلال 90 يوم",""))),"")</f>
        <v/>
      </c>
      <c r="U305" s="7" t="str">
        <f>IF(B305="","",COUNTIF(التمديدات!$A$2:$A$301,B305))</f>
        <v/>
      </c>
      <c r="V305" s="10"/>
      <c r="W305" s="10"/>
      <c r="X305" s="7" t="str">
        <f t="shared" si="16"/>
        <v/>
      </c>
    </row>
    <row r="306" spans="1:24">
      <c r="A306" s="7">
        <v>305</v>
      </c>
      <c r="B306" s="10"/>
      <c r="C306" s="10"/>
      <c r="D306" s="10"/>
      <c r="E306" s="10"/>
      <c r="F306" s="10"/>
      <c r="G306" s="11"/>
      <c r="H306" s="11"/>
      <c r="I306" s="11"/>
      <c r="J306" s="12" t="str">
        <f>IF(B306="","",MAX(I306,_xlfn.MAXIFS(التمديدات!$C$2:$C$301,التمديدات!$A$2:$A$301,B306)))</f>
        <v/>
      </c>
      <c r="K306" s="7" t="str">
        <f t="shared" si="14"/>
        <v/>
      </c>
      <c r="L306" s="26"/>
      <c r="M306" s="27"/>
      <c r="N306" s="10"/>
      <c r="O306" s="10"/>
      <c r="P306" s="10"/>
      <c r="Q306" s="10"/>
      <c r="R306" s="7" t="str">
        <f ca="1">IF(B306="","",IF(Q306&lt;&gt;"",Q306,IF(H306&gt;TODAY(),"لم يبدأ بعد",IF(J306&lt;TODAY(),"منتهٍ",IF(J306-TODAY()&lt;='القوائم والإعدادات'!$E$2,"قريب الانتهاء","ساري")))))</f>
        <v/>
      </c>
      <c r="S306" s="7" t="str">
        <f t="shared" ca="1" si="15"/>
        <v/>
      </c>
      <c r="T306" s="7" t="str">
        <f ca="1">IF(OR(R306="ساري",R306="قريب الانتهاء"),IF(S306&lt;='القوائم والإعدادات'!$E$4,"عاجل",IF(S306&lt;='القوائم والإعدادات'!$E$3,"خلال 60 يوم",IF(S306&lt;='القوائم والإعدادات'!$E$2,"خلال 90 يوم",""))),"")</f>
        <v/>
      </c>
      <c r="U306" s="7" t="str">
        <f>IF(B306="","",COUNTIF(التمديدات!$A$2:$A$301,B306))</f>
        <v/>
      </c>
      <c r="V306" s="10"/>
      <c r="W306" s="10"/>
      <c r="X306" s="7" t="str">
        <f t="shared" si="16"/>
        <v/>
      </c>
    </row>
    <row r="307" spans="1:24">
      <c r="A307" s="7">
        <v>306</v>
      </c>
      <c r="B307" s="10"/>
      <c r="C307" s="10"/>
      <c r="D307" s="10"/>
      <c r="E307" s="10"/>
      <c r="F307" s="10"/>
      <c r="G307" s="11"/>
      <c r="H307" s="11"/>
      <c r="I307" s="11"/>
      <c r="J307" s="12" t="str">
        <f>IF(B307="","",MAX(I307,_xlfn.MAXIFS(التمديدات!$C$2:$C$301,التمديدات!$A$2:$A$301,B307)))</f>
        <v/>
      </c>
      <c r="K307" s="7" t="str">
        <f t="shared" si="14"/>
        <v/>
      </c>
      <c r="L307" s="26"/>
      <c r="M307" s="27"/>
      <c r="N307" s="10"/>
      <c r="O307" s="10"/>
      <c r="P307" s="10"/>
      <c r="Q307" s="10"/>
      <c r="R307" s="7" t="str">
        <f ca="1">IF(B307="","",IF(Q307&lt;&gt;"",Q307,IF(H307&gt;TODAY(),"لم يبدأ بعد",IF(J307&lt;TODAY(),"منتهٍ",IF(J307-TODAY()&lt;='القوائم والإعدادات'!$E$2,"قريب الانتهاء","ساري")))))</f>
        <v/>
      </c>
      <c r="S307" s="7" t="str">
        <f t="shared" ca="1" si="15"/>
        <v/>
      </c>
      <c r="T307" s="7" t="str">
        <f ca="1">IF(OR(R307="ساري",R307="قريب الانتهاء"),IF(S307&lt;='القوائم والإعدادات'!$E$4,"عاجل",IF(S307&lt;='القوائم والإعدادات'!$E$3,"خلال 60 يوم",IF(S307&lt;='القوائم والإعدادات'!$E$2,"خلال 90 يوم",""))),"")</f>
        <v/>
      </c>
      <c r="U307" s="7" t="str">
        <f>IF(B307="","",COUNTIF(التمديدات!$A$2:$A$301,B307))</f>
        <v/>
      </c>
      <c r="V307" s="10"/>
      <c r="W307" s="10"/>
      <c r="X307" s="7" t="str">
        <f t="shared" si="16"/>
        <v/>
      </c>
    </row>
    <row r="308" spans="1:24">
      <c r="A308" s="7">
        <v>307</v>
      </c>
      <c r="B308" s="10"/>
      <c r="C308" s="10"/>
      <c r="D308" s="10"/>
      <c r="E308" s="10"/>
      <c r="F308" s="10"/>
      <c r="G308" s="11"/>
      <c r="H308" s="11"/>
      <c r="I308" s="11"/>
      <c r="J308" s="12" t="str">
        <f>IF(B308="","",MAX(I308,_xlfn.MAXIFS(التمديدات!$C$2:$C$301,التمديدات!$A$2:$A$301,B308)))</f>
        <v/>
      </c>
      <c r="K308" s="7" t="str">
        <f t="shared" si="14"/>
        <v/>
      </c>
      <c r="L308" s="26"/>
      <c r="M308" s="27"/>
      <c r="N308" s="10"/>
      <c r="O308" s="10"/>
      <c r="P308" s="10"/>
      <c r="Q308" s="10"/>
      <c r="R308" s="7" t="str">
        <f ca="1">IF(B308="","",IF(Q308&lt;&gt;"",Q308,IF(H308&gt;TODAY(),"لم يبدأ بعد",IF(J308&lt;TODAY(),"منتهٍ",IF(J308-TODAY()&lt;='القوائم والإعدادات'!$E$2,"قريب الانتهاء","ساري")))))</f>
        <v/>
      </c>
      <c r="S308" s="7" t="str">
        <f t="shared" ca="1" si="15"/>
        <v/>
      </c>
      <c r="T308" s="7" t="str">
        <f ca="1">IF(OR(R308="ساري",R308="قريب الانتهاء"),IF(S308&lt;='القوائم والإعدادات'!$E$4,"عاجل",IF(S308&lt;='القوائم والإعدادات'!$E$3,"خلال 60 يوم",IF(S308&lt;='القوائم والإعدادات'!$E$2,"خلال 90 يوم",""))),"")</f>
        <v/>
      </c>
      <c r="U308" s="7" t="str">
        <f>IF(B308="","",COUNTIF(التمديدات!$A$2:$A$301,B308))</f>
        <v/>
      </c>
      <c r="V308" s="10"/>
      <c r="W308" s="10"/>
      <c r="X308" s="7" t="str">
        <f t="shared" si="16"/>
        <v/>
      </c>
    </row>
    <row r="309" spans="1:24">
      <c r="A309" s="7">
        <v>308</v>
      </c>
      <c r="B309" s="10"/>
      <c r="C309" s="10"/>
      <c r="D309" s="10"/>
      <c r="E309" s="10"/>
      <c r="F309" s="10"/>
      <c r="G309" s="11"/>
      <c r="H309" s="11"/>
      <c r="I309" s="11"/>
      <c r="J309" s="12" t="str">
        <f>IF(B309="","",MAX(I309,_xlfn.MAXIFS(التمديدات!$C$2:$C$301,التمديدات!$A$2:$A$301,B309)))</f>
        <v/>
      </c>
      <c r="K309" s="7" t="str">
        <f t="shared" si="14"/>
        <v/>
      </c>
      <c r="L309" s="26"/>
      <c r="M309" s="27"/>
      <c r="N309" s="10"/>
      <c r="O309" s="10"/>
      <c r="P309" s="10"/>
      <c r="Q309" s="10"/>
      <c r="R309" s="7" t="str">
        <f ca="1">IF(B309="","",IF(Q309&lt;&gt;"",Q309,IF(H309&gt;TODAY(),"لم يبدأ بعد",IF(J309&lt;TODAY(),"منتهٍ",IF(J309-TODAY()&lt;='القوائم والإعدادات'!$E$2,"قريب الانتهاء","ساري")))))</f>
        <v/>
      </c>
      <c r="S309" s="7" t="str">
        <f t="shared" ca="1" si="15"/>
        <v/>
      </c>
      <c r="T309" s="7" t="str">
        <f ca="1">IF(OR(R309="ساري",R309="قريب الانتهاء"),IF(S309&lt;='القوائم والإعدادات'!$E$4,"عاجل",IF(S309&lt;='القوائم والإعدادات'!$E$3,"خلال 60 يوم",IF(S309&lt;='القوائم والإعدادات'!$E$2,"خلال 90 يوم",""))),"")</f>
        <v/>
      </c>
      <c r="U309" s="7" t="str">
        <f>IF(B309="","",COUNTIF(التمديدات!$A$2:$A$301,B309))</f>
        <v/>
      </c>
      <c r="V309" s="10"/>
      <c r="W309" s="10"/>
      <c r="X309" s="7" t="str">
        <f t="shared" si="16"/>
        <v/>
      </c>
    </row>
    <row r="310" spans="1:24">
      <c r="A310" s="7">
        <v>309</v>
      </c>
      <c r="B310" s="10"/>
      <c r="C310" s="10"/>
      <c r="D310" s="10"/>
      <c r="E310" s="10"/>
      <c r="F310" s="10"/>
      <c r="G310" s="11"/>
      <c r="H310" s="11"/>
      <c r="I310" s="11"/>
      <c r="J310" s="12" t="str">
        <f>IF(B310="","",MAX(I310,_xlfn.MAXIFS(التمديدات!$C$2:$C$301,التمديدات!$A$2:$A$301,B310)))</f>
        <v/>
      </c>
      <c r="K310" s="7" t="str">
        <f t="shared" si="14"/>
        <v/>
      </c>
      <c r="L310" s="26"/>
      <c r="M310" s="27"/>
      <c r="N310" s="10"/>
      <c r="O310" s="10"/>
      <c r="P310" s="10"/>
      <c r="Q310" s="10"/>
      <c r="R310" s="7" t="str">
        <f ca="1">IF(B310="","",IF(Q310&lt;&gt;"",Q310,IF(H310&gt;TODAY(),"لم يبدأ بعد",IF(J310&lt;TODAY(),"منتهٍ",IF(J310-TODAY()&lt;='القوائم والإعدادات'!$E$2,"قريب الانتهاء","ساري")))))</f>
        <v/>
      </c>
      <c r="S310" s="7" t="str">
        <f t="shared" ca="1" si="15"/>
        <v/>
      </c>
      <c r="T310" s="7" t="str">
        <f ca="1">IF(OR(R310="ساري",R310="قريب الانتهاء"),IF(S310&lt;='القوائم والإعدادات'!$E$4,"عاجل",IF(S310&lt;='القوائم والإعدادات'!$E$3,"خلال 60 يوم",IF(S310&lt;='القوائم والإعدادات'!$E$2,"خلال 90 يوم",""))),"")</f>
        <v/>
      </c>
      <c r="U310" s="7" t="str">
        <f>IF(B310="","",COUNTIF(التمديدات!$A$2:$A$301,B310))</f>
        <v/>
      </c>
      <c r="V310" s="10"/>
      <c r="W310" s="10"/>
      <c r="X310" s="7" t="str">
        <f t="shared" si="16"/>
        <v/>
      </c>
    </row>
    <row r="311" spans="1:24">
      <c r="A311" s="7">
        <v>310</v>
      </c>
      <c r="B311" s="10"/>
      <c r="C311" s="10"/>
      <c r="D311" s="10"/>
      <c r="E311" s="10"/>
      <c r="F311" s="10"/>
      <c r="G311" s="11"/>
      <c r="H311" s="11"/>
      <c r="I311" s="11"/>
      <c r="J311" s="12" t="str">
        <f>IF(B311="","",MAX(I311,_xlfn.MAXIFS(التمديدات!$C$2:$C$301,التمديدات!$A$2:$A$301,B311)))</f>
        <v/>
      </c>
      <c r="K311" s="7" t="str">
        <f t="shared" si="14"/>
        <v/>
      </c>
      <c r="L311" s="26"/>
      <c r="M311" s="27"/>
      <c r="N311" s="10"/>
      <c r="O311" s="10"/>
      <c r="P311" s="10"/>
      <c r="Q311" s="10"/>
      <c r="R311" s="7" t="str">
        <f ca="1">IF(B311="","",IF(Q311&lt;&gt;"",Q311,IF(H311&gt;TODAY(),"لم يبدأ بعد",IF(J311&lt;TODAY(),"منتهٍ",IF(J311-TODAY()&lt;='القوائم والإعدادات'!$E$2,"قريب الانتهاء","ساري")))))</f>
        <v/>
      </c>
      <c r="S311" s="7" t="str">
        <f t="shared" ca="1" si="15"/>
        <v/>
      </c>
      <c r="T311" s="7" t="str">
        <f ca="1">IF(OR(R311="ساري",R311="قريب الانتهاء"),IF(S311&lt;='القوائم والإعدادات'!$E$4,"عاجل",IF(S311&lt;='القوائم والإعدادات'!$E$3,"خلال 60 يوم",IF(S311&lt;='القوائم والإعدادات'!$E$2,"خلال 90 يوم",""))),"")</f>
        <v/>
      </c>
      <c r="U311" s="7" t="str">
        <f>IF(B311="","",COUNTIF(التمديدات!$A$2:$A$301,B311))</f>
        <v/>
      </c>
      <c r="V311" s="10"/>
      <c r="W311" s="10"/>
      <c r="X311" s="7" t="str">
        <f t="shared" si="16"/>
        <v/>
      </c>
    </row>
    <row r="312" spans="1:24">
      <c r="A312" s="7">
        <v>311</v>
      </c>
      <c r="B312" s="10"/>
      <c r="C312" s="10"/>
      <c r="D312" s="10"/>
      <c r="E312" s="10"/>
      <c r="F312" s="10"/>
      <c r="G312" s="11"/>
      <c r="H312" s="11"/>
      <c r="I312" s="11"/>
      <c r="J312" s="12" t="str">
        <f>IF(B312="","",MAX(I312,_xlfn.MAXIFS(التمديدات!$C$2:$C$301,التمديدات!$A$2:$A$301,B312)))</f>
        <v/>
      </c>
      <c r="K312" s="7" t="str">
        <f t="shared" si="14"/>
        <v/>
      </c>
      <c r="L312" s="26"/>
      <c r="M312" s="27"/>
      <c r="N312" s="10"/>
      <c r="O312" s="10"/>
      <c r="P312" s="10"/>
      <c r="Q312" s="10"/>
      <c r="R312" s="7" t="str">
        <f ca="1">IF(B312="","",IF(Q312&lt;&gt;"",Q312,IF(H312&gt;TODAY(),"لم يبدأ بعد",IF(J312&lt;TODAY(),"منتهٍ",IF(J312-TODAY()&lt;='القوائم والإعدادات'!$E$2,"قريب الانتهاء","ساري")))))</f>
        <v/>
      </c>
      <c r="S312" s="7" t="str">
        <f t="shared" ca="1" si="15"/>
        <v/>
      </c>
      <c r="T312" s="7" t="str">
        <f ca="1">IF(OR(R312="ساري",R312="قريب الانتهاء"),IF(S312&lt;='القوائم والإعدادات'!$E$4,"عاجل",IF(S312&lt;='القوائم والإعدادات'!$E$3,"خلال 60 يوم",IF(S312&lt;='القوائم والإعدادات'!$E$2,"خلال 90 يوم",""))),"")</f>
        <v/>
      </c>
      <c r="U312" s="7" t="str">
        <f>IF(B312="","",COUNTIF(التمديدات!$A$2:$A$301,B312))</f>
        <v/>
      </c>
      <c r="V312" s="10"/>
      <c r="W312" s="10"/>
      <c r="X312" s="7" t="str">
        <f t="shared" si="16"/>
        <v/>
      </c>
    </row>
    <row r="313" spans="1:24">
      <c r="A313" s="7">
        <v>312</v>
      </c>
      <c r="B313" s="10"/>
      <c r="C313" s="10"/>
      <c r="D313" s="10"/>
      <c r="E313" s="10"/>
      <c r="F313" s="10"/>
      <c r="G313" s="11"/>
      <c r="H313" s="11"/>
      <c r="I313" s="11"/>
      <c r="J313" s="12" t="str">
        <f>IF(B313="","",MAX(I313,_xlfn.MAXIFS(التمديدات!$C$2:$C$301,التمديدات!$A$2:$A$301,B313)))</f>
        <v/>
      </c>
      <c r="K313" s="7" t="str">
        <f t="shared" si="14"/>
        <v/>
      </c>
      <c r="L313" s="26"/>
      <c r="M313" s="27"/>
      <c r="N313" s="10"/>
      <c r="O313" s="10"/>
      <c r="P313" s="10"/>
      <c r="Q313" s="10"/>
      <c r="R313" s="7" t="str">
        <f ca="1">IF(B313="","",IF(Q313&lt;&gt;"",Q313,IF(H313&gt;TODAY(),"لم يبدأ بعد",IF(J313&lt;TODAY(),"منتهٍ",IF(J313-TODAY()&lt;='القوائم والإعدادات'!$E$2,"قريب الانتهاء","ساري")))))</f>
        <v/>
      </c>
      <c r="S313" s="7" t="str">
        <f t="shared" ca="1" si="15"/>
        <v/>
      </c>
      <c r="T313" s="7" t="str">
        <f ca="1">IF(OR(R313="ساري",R313="قريب الانتهاء"),IF(S313&lt;='القوائم والإعدادات'!$E$4,"عاجل",IF(S313&lt;='القوائم والإعدادات'!$E$3,"خلال 60 يوم",IF(S313&lt;='القوائم والإعدادات'!$E$2,"خلال 90 يوم",""))),"")</f>
        <v/>
      </c>
      <c r="U313" s="7" t="str">
        <f>IF(B313="","",COUNTIF(التمديدات!$A$2:$A$301,B313))</f>
        <v/>
      </c>
      <c r="V313" s="10"/>
      <c r="W313" s="10"/>
      <c r="X313" s="7" t="str">
        <f t="shared" si="16"/>
        <v/>
      </c>
    </row>
    <row r="314" spans="1:24">
      <c r="A314" s="7">
        <v>313</v>
      </c>
      <c r="B314" s="10"/>
      <c r="C314" s="10"/>
      <c r="D314" s="10"/>
      <c r="E314" s="10"/>
      <c r="F314" s="10"/>
      <c r="G314" s="11"/>
      <c r="H314" s="11"/>
      <c r="I314" s="11"/>
      <c r="J314" s="12" t="str">
        <f>IF(B314="","",MAX(I314,_xlfn.MAXIFS(التمديدات!$C$2:$C$301,التمديدات!$A$2:$A$301,B314)))</f>
        <v/>
      </c>
      <c r="K314" s="7" t="str">
        <f t="shared" si="14"/>
        <v/>
      </c>
      <c r="L314" s="26"/>
      <c r="M314" s="27"/>
      <c r="N314" s="10"/>
      <c r="O314" s="10"/>
      <c r="P314" s="10"/>
      <c r="Q314" s="10"/>
      <c r="R314" s="7" t="str">
        <f ca="1">IF(B314="","",IF(Q314&lt;&gt;"",Q314,IF(H314&gt;TODAY(),"لم يبدأ بعد",IF(J314&lt;TODAY(),"منتهٍ",IF(J314-TODAY()&lt;='القوائم والإعدادات'!$E$2,"قريب الانتهاء","ساري")))))</f>
        <v/>
      </c>
      <c r="S314" s="7" t="str">
        <f t="shared" ca="1" si="15"/>
        <v/>
      </c>
      <c r="T314" s="7" t="str">
        <f ca="1">IF(OR(R314="ساري",R314="قريب الانتهاء"),IF(S314&lt;='القوائم والإعدادات'!$E$4,"عاجل",IF(S314&lt;='القوائم والإعدادات'!$E$3,"خلال 60 يوم",IF(S314&lt;='القوائم والإعدادات'!$E$2,"خلال 90 يوم",""))),"")</f>
        <v/>
      </c>
      <c r="U314" s="7" t="str">
        <f>IF(B314="","",COUNTIF(التمديدات!$A$2:$A$301,B314))</f>
        <v/>
      </c>
      <c r="V314" s="10"/>
      <c r="W314" s="10"/>
      <c r="X314" s="7" t="str">
        <f t="shared" si="16"/>
        <v/>
      </c>
    </row>
    <row r="315" spans="1:24">
      <c r="A315" s="7">
        <v>314</v>
      </c>
      <c r="B315" s="10"/>
      <c r="C315" s="10"/>
      <c r="D315" s="10"/>
      <c r="E315" s="10"/>
      <c r="F315" s="10"/>
      <c r="G315" s="11"/>
      <c r="H315" s="11"/>
      <c r="I315" s="11"/>
      <c r="J315" s="12" t="str">
        <f>IF(B315="","",MAX(I315,_xlfn.MAXIFS(التمديدات!$C$2:$C$301,التمديدات!$A$2:$A$301,B315)))</f>
        <v/>
      </c>
      <c r="K315" s="7" t="str">
        <f t="shared" si="14"/>
        <v/>
      </c>
      <c r="L315" s="26"/>
      <c r="M315" s="27"/>
      <c r="N315" s="10"/>
      <c r="O315" s="10"/>
      <c r="P315" s="10"/>
      <c r="Q315" s="10"/>
      <c r="R315" s="7" t="str">
        <f ca="1">IF(B315="","",IF(Q315&lt;&gt;"",Q315,IF(H315&gt;TODAY(),"لم يبدأ بعد",IF(J315&lt;TODAY(),"منتهٍ",IF(J315-TODAY()&lt;='القوائم والإعدادات'!$E$2,"قريب الانتهاء","ساري")))))</f>
        <v/>
      </c>
      <c r="S315" s="7" t="str">
        <f t="shared" ca="1" si="15"/>
        <v/>
      </c>
      <c r="T315" s="7" t="str">
        <f ca="1">IF(OR(R315="ساري",R315="قريب الانتهاء"),IF(S315&lt;='القوائم والإعدادات'!$E$4,"عاجل",IF(S315&lt;='القوائم والإعدادات'!$E$3,"خلال 60 يوم",IF(S315&lt;='القوائم والإعدادات'!$E$2,"خلال 90 يوم",""))),"")</f>
        <v/>
      </c>
      <c r="U315" s="7" t="str">
        <f>IF(B315="","",COUNTIF(التمديدات!$A$2:$A$301,B315))</f>
        <v/>
      </c>
      <c r="V315" s="10"/>
      <c r="W315" s="10"/>
      <c r="X315" s="7" t="str">
        <f t="shared" si="16"/>
        <v/>
      </c>
    </row>
    <row r="316" spans="1:24">
      <c r="A316" s="7">
        <v>315</v>
      </c>
      <c r="B316" s="10"/>
      <c r="C316" s="10"/>
      <c r="D316" s="10"/>
      <c r="E316" s="10"/>
      <c r="F316" s="10"/>
      <c r="G316" s="11"/>
      <c r="H316" s="11"/>
      <c r="I316" s="11"/>
      <c r="J316" s="12" t="str">
        <f>IF(B316="","",MAX(I316,_xlfn.MAXIFS(التمديدات!$C$2:$C$301,التمديدات!$A$2:$A$301,B316)))</f>
        <v/>
      </c>
      <c r="K316" s="7" t="str">
        <f t="shared" si="14"/>
        <v/>
      </c>
      <c r="L316" s="26"/>
      <c r="M316" s="27"/>
      <c r="N316" s="10"/>
      <c r="O316" s="10"/>
      <c r="P316" s="10"/>
      <c r="Q316" s="10"/>
      <c r="R316" s="7" t="str">
        <f ca="1">IF(B316="","",IF(Q316&lt;&gt;"",Q316,IF(H316&gt;TODAY(),"لم يبدأ بعد",IF(J316&lt;TODAY(),"منتهٍ",IF(J316-TODAY()&lt;='القوائم والإعدادات'!$E$2,"قريب الانتهاء","ساري")))))</f>
        <v/>
      </c>
      <c r="S316" s="7" t="str">
        <f t="shared" ca="1" si="15"/>
        <v/>
      </c>
      <c r="T316" s="7" t="str">
        <f ca="1">IF(OR(R316="ساري",R316="قريب الانتهاء"),IF(S316&lt;='القوائم والإعدادات'!$E$4,"عاجل",IF(S316&lt;='القوائم والإعدادات'!$E$3,"خلال 60 يوم",IF(S316&lt;='القوائم والإعدادات'!$E$2,"خلال 90 يوم",""))),"")</f>
        <v/>
      </c>
      <c r="U316" s="7" t="str">
        <f>IF(B316="","",COUNTIF(التمديدات!$A$2:$A$301,B316))</f>
        <v/>
      </c>
      <c r="V316" s="10"/>
      <c r="W316" s="10"/>
      <c r="X316" s="7" t="str">
        <f t="shared" si="16"/>
        <v/>
      </c>
    </row>
    <row r="317" spans="1:24">
      <c r="A317" s="7">
        <v>316</v>
      </c>
      <c r="B317" s="10"/>
      <c r="C317" s="10"/>
      <c r="D317" s="10"/>
      <c r="E317" s="10"/>
      <c r="F317" s="10"/>
      <c r="G317" s="11"/>
      <c r="H317" s="11"/>
      <c r="I317" s="11"/>
      <c r="J317" s="12" t="str">
        <f>IF(B317="","",MAX(I317,_xlfn.MAXIFS(التمديدات!$C$2:$C$301,التمديدات!$A$2:$A$301,B317)))</f>
        <v/>
      </c>
      <c r="K317" s="7" t="str">
        <f t="shared" si="14"/>
        <v/>
      </c>
      <c r="L317" s="26"/>
      <c r="M317" s="27"/>
      <c r="N317" s="10"/>
      <c r="O317" s="10"/>
      <c r="P317" s="10"/>
      <c r="Q317" s="10"/>
      <c r="R317" s="7" t="str">
        <f ca="1">IF(B317="","",IF(Q317&lt;&gt;"",Q317,IF(H317&gt;TODAY(),"لم يبدأ بعد",IF(J317&lt;TODAY(),"منتهٍ",IF(J317-TODAY()&lt;='القوائم والإعدادات'!$E$2,"قريب الانتهاء","ساري")))))</f>
        <v/>
      </c>
      <c r="S317" s="7" t="str">
        <f t="shared" ca="1" si="15"/>
        <v/>
      </c>
      <c r="T317" s="7" t="str">
        <f ca="1">IF(OR(R317="ساري",R317="قريب الانتهاء"),IF(S317&lt;='القوائم والإعدادات'!$E$4,"عاجل",IF(S317&lt;='القوائم والإعدادات'!$E$3,"خلال 60 يوم",IF(S317&lt;='القوائم والإعدادات'!$E$2,"خلال 90 يوم",""))),"")</f>
        <v/>
      </c>
      <c r="U317" s="7" t="str">
        <f>IF(B317="","",COUNTIF(التمديدات!$A$2:$A$301,B317))</f>
        <v/>
      </c>
      <c r="V317" s="10"/>
      <c r="W317" s="10"/>
      <c r="X317" s="7" t="str">
        <f t="shared" si="16"/>
        <v/>
      </c>
    </row>
    <row r="318" spans="1:24">
      <c r="A318" s="7">
        <v>317</v>
      </c>
      <c r="B318" s="10"/>
      <c r="C318" s="10"/>
      <c r="D318" s="10"/>
      <c r="E318" s="10"/>
      <c r="F318" s="10"/>
      <c r="G318" s="11"/>
      <c r="H318" s="11"/>
      <c r="I318" s="11"/>
      <c r="J318" s="12" t="str">
        <f>IF(B318="","",MAX(I318,_xlfn.MAXIFS(التمديدات!$C$2:$C$301,التمديدات!$A$2:$A$301,B318)))</f>
        <v/>
      </c>
      <c r="K318" s="7" t="str">
        <f t="shared" si="14"/>
        <v/>
      </c>
      <c r="L318" s="26"/>
      <c r="M318" s="27"/>
      <c r="N318" s="10"/>
      <c r="O318" s="10"/>
      <c r="P318" s="10"/>
      <c r="Q318" s="10"/>
      <c r="R318" s="7" t="str">
        <f ca="1">IF(B318="","",IF(Q318&lt;&gt;"",Q318,IF(H318&gt;TODAY(),"لم يبدأ بعد",IF(J318&lt;TODAY(),"منتهٍ",IF(J318-TODAY()&lt;='القوائم والإعدادات'!$E$2,"قريب الانتهاء","ساري")))))</f>
        <v/>
      </c>
      <c r="S318" s="7" t="str">
        <f t="shared" ca="1" si="15"/>
        <v/>
      </c>
      <c r="T318" s="7" t="str">
        <f ca="1">IF(OR(R318="ساري",R318="قريب الانتهاء"),IF(S318&lt;='القوائم والإعدادات'!$E$4,"عاجل",IF(S318&lt;='القوائم والإعدادات'!$E$3,"خلال 60 يوم",IF(S318&lt;='القوائم والإعدادات'!$E$2,"خلال 90 يوم",""))),"")</f>
        <v/>
      </c>
      <c r="U318" s="7" t="str">
        <f>IF(B318="","",COUNTIF(التمديدات!$A$2:$A$301,B318))</f>
        <v/>
      </c>
      <c r="V318" s="10"/>
      <c r="W318" s="10"/>
      <c r="X318" s="7" t="str">
        <f t="shared" si="16"/>
        <v/>
      </c>
    </row>
    <row r="319" spans="1:24">
      <c r="A319" s="7">
        <v>318</v>
      </c>
      <c r="B319" s="10"/>
      <c r="C319" s="10"/>
      <c r="D319" s="10"/>
      <c r="E319" s="10"/>
      <c r="F319" s="10"/>
      <c r="G319" s="11"/>
      <c r="H319" s="11"/>
      <c r="I319" s="11"/>
      <c r="J319" s="12" t="str">
        <f>IF(B319="","",MAX(I319,_xlfn.MAXIFS(التمديدات!$C$2:$C$301,التمديدات!$A$2:$A$301,B319)))</f>
        <v/>
      </c>
      <c r="K319" s="7" t="str">
        <f t="shared" si="14"/>
        <v/>
      </c>
      <c r="L319" s="26"/>
      <c r="M319" s="27"/>
      <c r="N319" s="10"/>
      <c r="O319" s="10"/>
      <c r="P319" s="10"/>
      <c r="Q319" s="10"/>
      <c r="R319" s="7" t="str">
        <f ca="1">IF(B319="","",IF(Q319&lt;&gt;"",Q319,IF(H319&gt;TODAY(),"لم يبدأ بعد",IF(J319&lt;TODAY(),"منتهٍ",IF(J319-TODAY()&lt;='القوائم والإعدادات'!$E$2,"قريب الانتهاء","ساري")))))</f>
        <v/>
      </c>
      <c r="S319" s="7" t="str">
        <f t="shared" ca="1" si="15"/>
        <v/>
      </c>
      <c r="T319" s="7" t="str">
        <f ca="1">IF(OR(R319="ساري",R319="قريب الانتهاء"),IF(S319&lt;='القوائم والإعدادات'!$E$4,"عاجل",IF(S319&lt;='القوائم والإعدادات'!$E$3,"خلال 60 يوم",IF(S319&lt;='القوائم والإعدادات'!$E$2,"خلال 90 يوم",""))),"")</f>
        <v/>
      </c>
      <c r="U319" s="7" t="str">
        <f>IF(B319="","",COUNTIF(التمديدات!$A$2:$A$301,B319))</f>
        <v/>
      </c>
      <c r="V319" s="10"/>
      <c r="W319" s="10"/>
      <c r="X319" s="7" t="str">
        <f t="shared" si="16"/>
        <v/>
      </c>
    </row>
    <row r="320" spans="1:24">
      <c r="A320" s="7">
        <v>319</v>
      </c>
      <c r="B320" s="10"/>
      <c r="C320" s="10"/>
      <c r="D320" s="10"/>
      <c r="E320" s="10"/>
      <c r="F320" s="10"/>
      <c r="G320" s="11"/>
      <c r="H320" s="11"/>
      <c r="I320" s="11"/>
      <c r="J320" s="12" t="str">
        <f>IF(B320="","",MAX(I320,_xlfn.MAXIFS(التمديدات!$C$2:$C$301,التمديدات!$A$2:$A$301,B320)))</f>
        <v/>
      </c>
      <c r="K320" s="7" t="str">
        <f t="shared" si="14"/>
        <v/>
      </c>
      <c r="L320" s="26"/>
      <c r="M320" s="27"/>
      <c r="N320" s="10"/>
      <c r="O320" s="10"/>
      <c r="P320" s="10"/>
      <c r="Q320" s="10"/>
      <c r="R320" s="7" t="str">
        <f ca="1">IF(B320="","",IF(Q320&lt;&gt;"",Q320,IF(H320&gt;TODAY(),"لم يبدأ بعد",IF(J320&lt;TODAY(),"منتهٍ",IF(J320-TODAY()&lt;='القوائم والإعدادات'!$E$2,"قريب الانتهاء","ساري")))))</f>
        <v/>
      </c>
      <c r="S320" s="7" t="str">
        <f t="shared" ca="1" si="15"/>
        <v/>
      </c>
      <c r="T320" s="7" t="str">
        <f ca="1">IF(OR(R320="ساري",R320="قريب الانتهاء"),IF(S320&lt;='القوائم والإعدادات'!$E$4,"عاجل",IF(S320&lt;='القوائم والإعدادات'!$E$3,"خلال 60 يوم",IF(S320&lt;='القوائم والإعدادات'!$E$2,"خلال 90 يوم",""))),"")</f>
        <v/>
      </c>
      <c r="U320" s="7" t="str">
        <f>IF(B320="","",COUNTIF(التمديدات!$A$2:$A$301,B320))</f>
        <v/>
      </c>
      <c r="V320" s="10"/>
      <c r="W320" s="10"/>
      <c r="X320" s="7" t="str">
        <f t="shared" si="16"/>
        <v/>
      </c>
    </row>
    <row r="321" spans="1:24">
      <c r="A321" s="7">
        <v>320</v>
      </c>
      <c r="B321" s="10"/>
      <c r="C321" s="10"/>
      <c r="D321" s="10"/>
      <c r="E321" s="10"/>
      <c r="F321" s="10"/>
      <c r="G321" s="11"/>
      <c r="H321" s="11"/>
      <c r="I321" s="11"/>
      <c r="J321" s="12" t="str">
        <f>IF(B321="","",MAX(I321,_xlfn.MAXIFS(التمديدات!$C$2:$C$301,التمديدات!$A$2:$A$301,B321)))</f>
        <v/>
      </c>
      <c r="K321" s="7" t="str">
        <f t="shared" si="14"/>
        <v/>
      </c>
      <c r="L321" s="26"/>
      <c r="M321" s="27"/>
      <c r="N321" s="10"/>
      <c r="O321" s="10"/>
      <c r="P321" s="10"/>
      <c r="Q321" s="10"/>
      <c r="R321" s="7" t="str">
        <f ca="1">IF(B321="","",IF(Q321&lt;&gt;"",Q321,IF(H321&gt;TODAY(),"لم يبدأ بعد",IF(J321&lt;TODAY(),"منتهٍ",IF(J321-TODAY()&lt;='القوائم والإعدادات'!$E$2,"قريب الانتهاء","ساري")))))</f>
        <v/>
      </c>
      <c r="S321" s="7" t="str">
        <f t="shared" ca="1" si="15"/>
        <v/>
      </c>
      <c r="T321" s="7" t="str">
        <f ca="1">IF(OR(R321="ساري",R321="قريب الانتهاء"),IF(S321&lt;='القوائم والإعدادات'!$E$4,"عاجل",IF(S321&lt;='القوائم والإعدادات'!$E$3,"خلال 60 يوم",IF(S321&lt;='القوائم والإعدادات'!$E$2,"خلال 90 يوم",""))),"")</f>
        <v/>
      </c>
      <c r="U321" s="7" t="str">
        <f>IF(B321="","",COUNTIF(التمديدات!$A$2:$A$301,B321))</f>
        <v/>
      </c>
      <c r="V321" s="10"/>
      <c r="W321" s="10"/>
      <c r="X321" s="7" t="str">
        <f t="shared" si="16"/>
        <v/>
      </c>
    </row>
    <row r="322" spans="1:24">
      <c r="A322" s="7">
        <v>321</v>
      </c>
      <c r="B322" s="10"/>
      <c r="C322" s="10"/>
      <c r="D322" s="10"/>
      <c r="E322" s="10"/>
      <c r="F322" s="10"/>
      <c r="G322" s="11"/>
      <c r="H322" s="11"/>
      <c r="I322" s="11"/>
      <c r="J322" s="12" t="str">
        <f>IF(B322="","",MAX(I322,_xlfn.MAXIFS(التمديدات!$C$2:$C$301,التمديدات!$A$2:$A$301,B322)))</f>
        <v/>
      </c>
      <c r="K322" s="7" t="str">
        <f t="shared" ref="K322:K385" si="17">IF(OR(H322="",I322=""),"",ROUND((I322-H322)/30.4,0))</f>
        <v/>
      </c>
      <c r="L322" s="26"/>
      <c r="M322" s="27"/>
      <c r="N322" s="10"/>
      <c r="O322" s="10"/>
      <c r="P322" s="10"/>
      <c r="Q322" s="10"/>
      <c r="R322" s="7" t="str">
        <f ca="1">IF(B322="","",IF(Q322&lt;&gt;"",Q322,IF(H322&gt;TODAY(),"لم يبدأ بعد",IF(J322&lt;TODAY(),"منتهٍ",IF(J322-TODAY()&lt;='القوائم والإعدادات'!$E$2,"قريب الانتهاء","ساري")))))</f>
        <v/>
      </c>
      <c r="S322" s="7" t="str">
        <f t="shared" ca="1" si="15"/>
        <v/>
      </c>
      <c r="T322" s="7" t="str">
        <f ca="1">IF(OR(R322="ساري",R322="قريب الانتهاء"),IF(S322&lt;='القوائم والإعدادات'!$E$4,"عاجل",IF(S322&lt;='القوائم والإعدادات'!$E$3,"خلال 60 يوم",IF(S322&lt;='القوائم والإعدادات'!$E$2,"خلال 90 يوم",""))),"")</f>
        <v/>
      </c>
      <c r="U322" s="7" t="str">
        <f>IF(B322="","",COUNTIF(التمديدات!$A$2:$A$301,B322))</f>
        <v/>
      </c>
      <c r="V322" s="10"/>
      <c r="W322" s="10"/>
      <c r="X322" s="7" t="str">
        <f t="shared" si="16"/>
        <v/>
      </c>
    </row>
    <row r="323" spans="1:24">
      <c r="A323" s="7">
        <v>322</v>
      </c>
      <c r="B323" s="10"/>
      <c r="C323" s="10"/>
      <c r="D323" s="10"/>
      <c r="E323" s="10"/>
      <c r="F323" s="10"/>
      <c r="G323" s="11"/>
      <c r="H323" s="11"/>
      <c r="I323" s="11"/>
      <c r="J323" s="12" t="str">
        <f>IF(B323="","",MAX(I323,_xlfn.MAXIFS(التمديدات!$C$2:$C$301,التمديدات!$A$2:$A$301,B323)))</f>
        <v/>
      </c>
      <c r="K323" s="7" t="str">
        <f t="shared" si="17"/>
        <v/>
      </c>
      <c r="L323" s="26"/>
      <c r="M323" s="27"/>
      <c r="N323" s="10"/>
      <c r="O323" s="10"/>
      <c r="P323" s="10"/>
      <c r="Q323" s="10"/>
      <c r="R323" s="7" t="str">
        <f ca="1">IF(B323="","",IF(Q323&lt;&gt;"",Q323,IF(H323&gt;TODAY(),"لم يبدأ بعد",IF(J323&lt;TODAY(),"منتهٍ",IF(J323-TODAY()&lt;='القوائم والإعدادات'!$E$2,"قريب الانتهاء","ساري")))))</f>
        <v/>
      </c>
      <c r="S323" s="7" t="str">
        <f t="shared" ca="1" si="15"/>
        <v/>
      </c>
      <c r="T323" s="7" t="str">
        <f ca="1">IF(OR(R323="ساري",R323="قريب الانتهاء"),IF(S323&lt;='القوائم والإعدادات'!$E$4,"عاجل",IF(S323&lt;='القوائم والإعدادات'!$E$3,"خلال 60 يوم",IF(S323&lt;='القوائم والإعدادات'!$E$2,"خلال 90 يوم",""))),"")</f>
        <v/>
      </c>
      <c r="U323" s="7" t="str">
        <f>IF(B323="","",COUNTIF(التمديدات!$A$2:$A$301,B323))</f>
        <v/>
      </c>
      <c r="V323" s="10"/>
      <c r="W323" s="10"/>
      <c r="X323" s="7" t="str">
        <f t="shared" si="16"/>
        <v/>
      </c>
    </row>
    <row r="324" spans="1:24">
      <c r="A324" s="7">
        <v>323</v>
      </c>
      <c r="B324" s="10"/>
      <c r="C324" s="10"/>
      <c r="D324" s="10"/>
      <c r="E324" s="10"/>
      <c r="F324" s="10"/>
      <c r="G324" s="11"/>
      <c r="H324" s="11"/>
      <c r="I324" s="11"/>
      <c r="J324" s="12" t="str">
        <f>IF(B324="","",MAX(I324,_xlfn.MAXIFS(التمديدات!$C$2:$C$301,التمديدات!$A$2:$A$301,B324)))</f>
        <v/>
      </c>
      <c r="K324" s="7" t="str">
        <f t="shared" si="17"/>
        <v/>
      </c>
      <c r="L324" s="26"/>
      <c r="M324" s="27"/>
      <c r="N324" s="10"/>
      <c r="O324" s="10"/>
      <c r="P324" s="10"/>
      <c r="Q324" s="10"/>
      <c r="R324" s="7" t="str">
        <f ca="1">IF(B324="","",IF(Q324&lt;&gt;"",Q324,IF(H324&gt;TODAY(),"لم يبدأ بعد",IF(J324&lt;TODAY(),"منتهٍ",IF(J324-TODAY()&lt;='القوائم والإعدادات'!$E$2,"قريب الانتهاء","ساري")))))</f>
        <v/>
      </c>
      <c r="S324" s="7" t="str">
        <f t="shared" ca="1" si="15"/>
        <v/>
      </c>
      <c r="T324" s="7" t="str">
        <f ca="1">IF(OR(R324="ساري",R324="قريب الانتهاء"),IF(S324&lt;='القوائم والإعدادات'!$E$4,"عاجل",IF(S324&lt;='القوائم والإعدادات'!$E$3,"خلال 60 يوم",IF(S324&lt;='القوائم والإعدادات'!$E$2,"خلال 90 يوم",""))),"")</f>
        <v/>
      </c>
      <c r="U324" s="7" t="str">
        <f>IF(B324="","",COUNTIF(التمديدات!$A$2:$A$301,B324))</f>
        <v/>
      </c>
      <c r="V324" s="10"/>
      <c r="W324" s="10"/>
      <c r="X324" s="7" t="str">
        <f t="shared" si="16"/>
        <v/>
      </c>
    </row>
    <row r="325" spans="1:24">
      <c r="A325" s="7">
        <v>324</v>
      </c>
      <c r="B325" s="10"/>
      <c r="C325" s="10"/>
      <c r="D325" s="10"/>
      <c r="E325" s="10"/>
      <c r="F325" s="10"/>
      <c r="G325" s="11"/>
      <c r="H325" s="11"/>
      <c r="I325" s="11"/>
      <c r="J325" s="12" t="str">
        <f>IF(B325="","",MAX(I325,_xlfn.MAXIFS(التمديدات!$C$2:$C$301,التمديدات!$A$2:$A$301,B325)))</f>
        <v/>
      </c>
      <c r="K325" s="7" t="str">
        <f t="shared" si="17"/>
        <v/>
      </c>
      <c r="L325" s="26"/>
      <c r="M325" s="27"/>
      <c r="N325" s="10"/>
      <c r="O325" s="10"/>
      <c r="P325" s="10"/>
      <c r="Q325" s="10"/>
      <c r="R325" s="7" t="str">
        <f ca="1">IF(B325="","",IF(Q325&lt;&gt;"",Q325,IF(H325&gt;TODAY(),"لم يبدأ بعد",IF(J325&lt;TODAY(),"منتهٍ",IF(J325-TODAY()&lt;='القوائم والإعدادات'!$E$2,"قريب الانتهاء","ساري")))))</f>
        <v/>
      </c>
      <c r="S325" s="7" t="str">
        <f t="shared" ca="1" si="15"/>
        <v/>
      </c>
      <c r="T325" s="7" t="str">
        <f ca="1">IF(OR(R325="ساري",R325="قريب الانتهاء"),IF(S325&lt;='القوائم والإعدادات'!$E$4,"عاجل",IF(S325&lt;='القوائم والإعدادات'!$E$3,"خلال 60 يوم",IF(S325&lt;='القوائم والإعدادات'!$E$2,"خلال 90 يوم",""))),"")</f>
        <v/>
      </c>
      <c r="U325" s="7" t="str">
        <f>IF(B325="","",COUNTIF(التمديدات!$A$2:$A$301,B325))</f>
        <v/>
      </c>
      <c r="V325" s="10"/>
      <c r="W325" s="10"/>
      <c r="X325" s="7" t="str">
        <f t="shared" si="16"/>
        <v/>
      </c>
    </row>
    <row r="326" spans="1:24">
      <c r="A326" s="7">
        <v>325</v>
      </c>
      <c r="B326" s="10"/>
      <c r="C326" s="10"/>
      <c r="D326" s="10"/>
      <c r="E326" s="10"/>
      <c r="F326" s="10"/>
      <c r="G326" s="11"/>
      <c r="H326" s="11"/>
      <c r="I326" s="11"/>
      <c r="J326" s="12" t="str">
        <f>IF(B326="","",MAX(I326,_xlfn.MAXIFS(التمديدات!$C$2:$C$301,التمديدات!$A$2:$A$301,B326)))</f>
        <v/>
      </c>
      <c r="K326" s="7" t="str">
        <f t="shared" si="17"/>
        <v/>
      </c>
      <c r="L326" s="26"/>
      <c r="M326" s="27"/>
      <c r="N326" s="10"/>
      <c r="O326" s="10"/>
      <c r="P326" s="10"/>
      <c r="Q326" s="10"/>
      <c r="R326" s="7" t="str">
        <f ca="1">IF(B326="","",IF(Q326&lt;&gt;"",Q326,IF(H326&gt;TODAY(),"لم يبدأ بعد",IF(J326&lt;TODAY(),"منتهٍ",IF(J326-TODAY()&lt;='القوائم والإعدادات'!$E$2,"قريب الانتهاء","ساري")))))</f>
        <v/>
      </c>
      <c r="S326" s="7" t="str">
        <f t="shared" ca="1" si="15"/>
        <v/>
      </c>
      <c r="T326" s="7" t="str">
        <f ca="1">IF(OR(R326="ساري",R326="قريب الانتهاء"),IF(S326&lt;='القوائم والإعدادات'!$E$4,"عاجل",IF(S326&lt;='القوائم والإعدادات'!$E$3,"خلال 60 يوم",IF(S326&lt;='القوائم والإعدادات'!$E$2,"خلال 90 يوم",""))),"")</f>
        <v/>
      </c>
      <c r="U326" s="7" t="str">
        <f>IF(B326="","",COUNTIF(التمديدات!$A$2:$A$301,B326))</f>
        <v/>
      </c>
      <c r="V326" s="10"/>
      <c r="W326" s="10"/>
      <c r="X326" s="7" t="str">
        <f t="shared" si="16"/>
        <v/>
      </c>
    </row>
    <row r="327" spans="1:24">
      <c r="A327" s="7">
        <v>326</v>
      </c>
      <c r="B327" s="10"/>
      <c r="C327" s="10"/>
      <c r="D327" s="10"/>
      <c r="E327" s="10"/>
      <c r="F327" s="10"/>
      <c r="G327" s="11"/>
      <c r="H327" s="11"/>
      <c r="I327" s="11"/>
      <c r="J327" s="12" t="str">
        <f>IF(B327="","",MAX(I327,_xlfn.MAXIFS(التمديدات!$C$2:$C$301,التمديدات!$A$2:$A$301,B327)))</f>
        <v/>
      </c>
      <c r="K327" s="7" t="str">
        <f t="shared" si="17"/>
        <v/>
      </c>
      <c r="L327" s="26"/>
      <c r="M327" s="27"/>
      <c r="N327" s="10"/>
      <c r="O327" s="10"/>
      <c r="P327" s="10"/>
      <c r="Q327" s="10"/>
      <c r="R327" s="7" t="str">
        <f ca="1">IF(B327="","",IF(Q327&lt;&gt;"",Q327,IF(H327&gt;TODAY(),"لم يبدأ بعد",IF(J327&lt;TODAY(),"منتهٍ",IF(J327-TODAY()&lt;='القوائم والإعدادات'!$E$2,"قريب الانتهاء","ساري")))))</f>
        <v/>
      </c>
      <c r="S327" s="7" t="str">
        <f t="shared" ca="1" si="15"/>
        <v/>
      </c>
      <c r="T327" s="7" t="str">
        <f ca="1">IF(OR(R327="ساري",R327="قريب الانتهاء"),IF(S327&lt;='القوائم والإعدادات'!$E$4,"عاجل",IF(S327&lt;='القوائم والإعدادات'!$E$3,"خلال 60 يوم",IF(S327&lt;='القوائم والإعدادات'!$E$2,"خلال 90 يوم",""))),"")</f>
        <v/>
      </c>
      <c r="U327" s="7" t="str">
        <f>IF(B327="","",COUNTIF(التمديدات!$A$2:$A$301,B327))</f>
        <v/>
      </c>
      <c r="V327" s="10"/>
      <c r="W327" s="10"/>
      <c r="X327" s="7" t="str">
        <f t="shared" si="16"/>
        <v/>
      </c>
    </row>
    <row r="328" spans="1:24">
      <c r="A328" s="7">
        <v>327</v>
      </c>
      <c r="B328" s="10"/>
      <c r="C328" s="10"/>
      <c r="D328" s="10"/>
      <c r="E328" s="10"/>
      <c r="F328" s="10"/>
      <c r="G328" s="11"/>
      <c r="H328" s="11"/>
      <c r="I328" s="11"/>
      <c r="J328" s="12" t="str">
        <f>IF(B328="","",MAX(I328,_xlfn.MAXIFS(التمديدات!$C$2:$C$301,التمديدات!$A$2:$A$301,B328)))</f>
        <v/>
      </c>
      <c r="K328" s="7" t="str">
        <f t="shared" si="17"/>
        <v/>
      </c>
      <c r="L328" s="26"/>
      <c r="M328" s="27"/>
      <c r="N328" s="10"/>
      <c r="O328" s="10"/>
      <c r="P328" s="10"/>
      <c r="Q328" s="10"/>
      <c r="R328" s="7" t="str">
        <f ca="1">IF(B328="","",IF(Q328&lt;&gt;"",Q328,IF(H328&gt;TODAY(),"لم يبدأ بعد",IF(J328&lt;TODAY(),"منتهٍ",IF(J328-TODAY()&lt;='القوائم والإعدادات'!$E$2,"قريب الانتهاء","ساري")))))</f>
        <v/>
      </c>
      <c r="S328" s="7" t="str">
        <f t="shared" ca="1" si="15"/>
        <v/>
      </c>
      <c r="T328" s="7" t="str">
        <f ca="1">IF(OR(R328="ساري",R328="قريب الانتهاء"),IF(S328&lt;='القوائم والإعدادات'!$E$4,"عاجل",IF(S328&lt;='القوائم والإعدادات'!$E$3,"خلال 60 يوم",IF(S328&lt;='القوائم والإعدادات'!$E$2,"خلال 90 يوم",""))),"")</f>
        <v/>
      </c>
      <c r="U328" s="7" t="str">
        <f>IF(B328="","",COUNTIF(التمديدات!$A$2:$A$301,B328))</f>
        <v/>
      </c>
      <c r="V328" s="10"/>
      <c r="W328" s="10"/>
      <c r="X328" s="7" t="str">
        <f t="shared" si="16"/>
        <v/>
      </c>
    </row>
    <row r="329" spans="1:24">
      <c r="A329" s="7">
        <v>328</v>
      </c>
      <c r="B329" s="10"/>
      <c r="C329" s="10"/>
      <c r="D329" s="10"/>
      <c r="E329" s="10"/>
      <c r="F329" s="10"/>
      <c r="G329" s="11"/>
      <c r="H329" s="11"/>
      <c r="I329" s="11"/>
      <c r="J329" s="12" t="str">
        <f>IF(B329="","",MAX(I329,_xlfn.MAXIFS(التمديدات!$C$2:$C$301,التمديدات!$A$2:$A$301,B329)))</f>
        <v/>
      </c>
      <c r="K329" s="7" t="str">
        <f t="shared" si="17"/>
        <v/>
      </c>
      <c r="L329" s="26"/>
      <c r="M329" s="27"/>
      <c r="N329" s="10"/>
      <c r="O329" s="10"/>
      <c r="P329" s="10"/>
      <c r="Q329" s="10"/>
      <c r="R329" s="7" t="str">
        <f ca="1">IF(B329="","",IF(Q329&lt;&gt;"",Q329,IF(H329&gt;TODAY(),"لم يبدأ بعد",IF(J329&lt;TODAY(),"منتهٍ",IF(J329-TODAY()&lt;='القوائم والإعدادات'!$E$2,"قريب الانتهاء","ساري")))))</f>
        <v/>
      </c>
      <c r="S329" s="7" t="str">
        <f t="shared" ca="1" si="15"/>
        <v/>
      </c>
      <c r="T329" s="7" t="str">
        <f ca="1">IF(OR(R329="ساري",R329="قريب الانتهاء"),IF(S329&lt;='القوائم والإعدادات'!$E$4,"عاجل",IF(S329&lt;='القوائم والإعدادات'!$E$3,"خلال 60 يوم",IF(S329&lt;='القوائم والإعدادات'!$E$2,"خلال 90 يوم",""))),"")</f>
        <v/>
      </c>
      <c r="U329" s="7" t="str">
        <f>IF(B329="","",COUNTIF(التمديدات!$A$2:$A$301,B329))</f>
        <v/>
      </c>
      <c r="V329" s="10"/>
      <c r="W329" s="10"/>
      <c r="X329" s="7" t="str">
        <f t="shared" si="16"/>
        <v/>
      </c>
    </row>
    <row r="330" spans="1:24">
      <c r="A330" s="7">
        <v>329</v>
      </c>
      <c r="B330" s="10"/>
      <c r="C330" s="10"/>
      <c r="D330" s="10"/>
      <c r="E330" s="10"/>
      <c r="F330" s="10"/>
      <c r="G330" s="11"/>
      <c r="H330" s="11"/>
      <c r="I330" s="11"/>
      <c r="J330" s="12" t="str">
        <f>IF(B330="","",MAX(I330,_xlfn.MAXIFS(التمديدات!$C$2:$C$301,التمديدات!$A$2:$A$301,B330)))</f>
        <v/>
      </c>
      <c r="K330" s="7" t="str">
        <f t="shared" si="17"/>
        <v/>
      </c>
      <c r="L330" s="26"/>
      <c r="M330" s="27"/>
      <c r="N330" s="10"/>
      <c r="O330" s="10"/>
      <c r="P330" s="10"/>
      <c r="Q330" s="10"/>
      <c r="R330" s="7" t="str">
        <f ca="1">IF(B330="","",IF(Q330&lt;&gt;"",Q330,IF(H330&gt;TODAY(),"لم يبدأ بعد",IF(J330&lt;TODAY(),"منتهٍ",IF(J330-TODAY()&lt;='القوائم والإعدادات'!$E$2,"قريب الانتهاء","ساري")))))</f>
        <v/>
      </c>
      <c r="S330" s="7" t="str">
        <f t="shared" ca="1" si="15"/>
        <v/>
      </c>
      <c r="T330" s="7" t="str">
        <f ca="1">IF(OR(R330="ساري",R330="قريب الانتهاء"),IF(S330&lt;='القوائم والإعدادات'!$E$4,"عاجل",IF(S330&lt;='القوائم والإعدادات'!$E$3,"خلال 60 يوم",IF(S330&lt;='القوائم والإعدادات'!$E$2,"خلال 90 يوم",""))),"")</f>
        <v/>
      </c>
      <c r="U330" s="7" t="str">
        <f>IF(B330="","",COUNTIF(التمديدات!$A$2:$A$301,B330))</f>
        <v/>
      </c>
      <c r="V330" s="10"/>
      <c r="W330" s="10"/>
      <c r="X330" s="7" t="str">
        <f t="shared" si="16"/>
        <v/>
      </c>
    </row>
    <row r="331" spans="1:24">
      <c r="A331" s="7">
        <v>330</v>
      </c>
      <c r="B331" s="10"/>
      <c r="C331" s="10"/>
      <c r="D331" s="10"/>
      <c r="E331" s="10"/>
      <c r="F331" s="10"/>
      <c r="G331" s="11"/>
      <c r="H331" s="11"/>
      <c r="I331" s="11"/>
      <c r="J331" s="12" t="str">
        <f>IF(B331="","",MAX(I331,_xlfn.MAXIFS(التمديدات!$C$2:$C$301,التمديدات!$A$2:$A$301,B331)))</f>
        <v/>
      </c>
      <c r="K331" s="7" t="str">
        <f t="shared" si="17"/>
        <v/>
      </c>
      <c r="L331" s="26"/>
      <c r="M331" s="27"/>
      <c r="N331" s="10"/>
      <c r="O331" s="10"/>
      <c r="P331" s="10"/>
      <c r="Q331" s="10"/>
      <c r="R331" s="7" t="str">
        <f ca="1">IF(B331="","",IF(Q331&lt;&gt;"",Q331,IF(H331&gt;TODAY(),"لم يبدأ بعد",IF(J331&lt;TODAY(),"منتهٍ",IF(J331-TODAY()&lt;='القوائم والإعدادات'!$E$2,"قريب الانتهاء","ساري")))))</f>
        <v/>
      </c>
      <c r="S331" s="7" t="str">
        <f t="shared" ca="1" si="15"/>
        <v/>
      </c>
      <c r="T331" s="7" t="str">
        <f ca="1">IF(OR(R331="ساري",R331="قريب الانتهاء"),IF(S331&lt;='القوائم والإعدادات'!$E$4,"عاجل",IF(S331&lt;='القوائم والإعدادات'!$E$3,"خلال 60 يوم",IF(S331&lt;='القوائم والإعدادات'!$E$2,"خلال 90 يوم",""))),"")</f>
        <v/>
      </c>
      <c r="U331" s="7" t="str">
        <f>IF(B331="","",COUNTIF(التمديدات!$A$2:$A$301,B331))</f>
        <v/>
      </c>
      <c r="V331" s="10"/>
      <c r="W331" s="10"/>
      <c r="X331" s="7" t="str">
        <f t="shared" si="16"/>
        <v/>
      </c>
    </row>
    <row r="332" spans="1:24">
      <c r="A332" s="7">
        <v>331</v>
      </c>
      <c r="B332" s="10"/>
      <c r="C332" s="10"/>
      <c r="D332" s="10"/>
      <c r="E332" s="10"/>
      <c r="F332" s="10"/>
      <c r="G332" s="11"/>
      <c r="H332" s="11"/>
      <c r="I332" s="11"/>
      <c r="J332" s="12" t="str">
        <f>IF(B332="","",MAX(I332,_xlfn.MAXIFS(التمديدات!$C$2:$C$301,التمديدات!$A$2:$A$301,B332)))</f>
        <v/>
      </c>
      <c r="K332" s="7" t="str">
        <f t="shared" si="17"/>
        <v/>
      </c>
      <c r="L332" s="26"/>
      <c r="M332" s="27"/>
      <c r="N332" s="10"/>
      <c r="O332" s="10"/>
      <c r="P332" s="10"/>
      <c r="Q332" s="10"/>
      <c r="R332" s="7" t="str">
        <f ca="1">IF(B332="","",IF(Q332&lt;&gt;"",Q332,IF(H332&gt;TODAY(),"لم يبدأ بعد",IF(J332&lt;TODAY(),"منتهٍ",IF(J332-TODAY()&lt;='القوائم والإعدادات'!$E$2,"قريب الانتهاء","ساري")))))</f>
        <v/>
      </c>
      <c r="S332" s="7" t="str">
        <f t="shared" ca="1" si="15"/>
        <v/>
      </c>
      <c r="T332" s="7" t="str">
        <f ca="1">IF(OR(R332="ساري",R332="قريب الانتهاء"),IF(S332&lt;='القوائم والإعدادات'!$E$4,"عاجل",IF(S332&lt;='القوائم والإعدادات'!$E$3,"خلال 60 يوم",IF(S332&lt;='القوائم والإعدادات'!$E$2,"خلال 90 يوم",""))),"")</f>
        <v/>
      </c>
      <c r="U332" s="7" t="str">
        <f>IF(B332="","",COUNTIF(التمديدات!$A$2:$A$301,B332))</f>
        <v/>
      </c>
      <c r="V332" s="10"/>
      <c r="W332" s="10"/>
      <c r="X332" s="7" t="str">
        <f t="shared" si="16"/>
        <v/>
      </c>
    </row>
    <row r="333" spans="1:24">
      <c r="A333" s="7">
        <v>332</v>
      </c>
      <c r="B333" s="10"/>
      <c r="C333" s="10"/>
      <c r="D333" s="10"/>
      <c r="E333" s="10"/>
      <c r="F333" s="10"/>
      <c r="G333" s="11"/>
      <c r="H333" s="11"/>
      <c r="I333" s="11"/>
      <c r="J333" s="12" t="str">
        <f>IF(B333="","",MAX(I333,_xlfn.MAXIFS(التمديدات!$C$2:$C$301,التمديدات!$A$2:$A$301,B333)))</f>
        <v/>
      </c>
      <c r="K333" s="7" t="str">
        <f t="shared" si="17"/>
        <v/>
      </c>
      <c r="L333" s="26"/>
      <c r="M333" s="27"/>
      <c r="N333" s="10"/>
      <c r="O333" s="10"/>
      <c r="P333" s="10"/>
      <c r="Q333" s="10"/>
      <c r="R333" s="7" t="str">
        <f ca="1">IF(B333="","",IF(Q333&lt;&gt;"",Q333,IF(H333&gt;TODAY(),"لم يبدأ بعد",IF(J333&lt;TODAY(),"منتهٍ",IF(J333-TODAY()&lt;='القوائم والإعدادات'!$E$2,"قريب الانتهاء","ساري")))))</f>
        <v/>
      </c>
      <c r="S333" s="7" t="str">
        <f t="shared" ca="1" si="15"/>
        <v/>
      </c>
      <c r="T333" s="7" t="str">
        <f ca="1">IF(OR(R333="ساري",R333="قريب الانتهاء"),IF(S333&lt;='القوائم والإعدادات'!$E$4,"عاجل",IF(S333&lt;='القوائم والإعدادات'!$E$3,"خلال 60 يوم",IF(S333&lt;='القوائم والإعدادات'!$E$2,"خلال 90 يوم",""))),"")</f>
        <v/>
      </c>
      <c r="U333" s="7" t="str">
        <f>IF(B333="","",COUNTIF(التمديدات!$A$2:$A$301,B333))</f>
        <v/>
      </c>
      <c r="V333" s="10"/>
      <c r="W333" s="10"/>
      <c r="X333" s="7" t="str">
        <f t="shared" si="16"/>
        <v/>
      </c>
    </row>
    <row r="334" spans="1:24">
      <c r="A334" s="7">
        <v>333</v>
      </c>
      <c r="B334" s="10"/>
      <c r="C334" s="10"/>
      <c r="D334" s="10"/>
      <c r="E334" s="10"/>
      <c r="F334" s="10"/>
      <c r="G334" s="11"/>
      <c r="H334" s="11"/>
      <c r="I334" s="11"/>
      <c r="J334" s="12" t="str">
        <f>IF(B334="","",MAX(I334,_xlfn.MAXIFS(التمديدات!$C$2:$C$301,التمديدات!$A$2:$A$301,B334)))</f>
        <v/>
      </c>
      <c r="K334" s="7" t="str">
        <f t="shared" si="17"/>
        <v/>
      </c>
      <c r="L334" s="26"/>
      <c r="M334" s="27"/>
      <c r="N334" s="10"/>
      <c r="O334" s="10"/>
      <c r="P334" s="10"/>
      <c r="Q334" s="10"/>
      <c r="R334" s="7" t="str">
        <f ca="1">IF(B334="","",IF(Q334&lt;&gt;"",Q334,IF(H334&gt;TODAY(),"لم يبدأ بعد",IF(J334&lt;TODAY(),"منتهٍ",IF(J334-TODAY()&lt;='القوائم والإعدادات'!$E$2,"قريب الانتهاء","ساري")))))</f>
        <v/>
      </c>
      <c r="S334" s="7" t="str">
        <f t="shared" ca="1" si="15"/>
        <v/>
      </c>
      <c r="T334" s="7" t="str">
        <f ca="1">IF(OR(R334="ساري",R334="قريب الانتهاء"),IF(S334&lt;='القوائم والإعدادات'!$E$4,"عاجل",IF(S334&lt;='القوائم والإعدادات'!$E$3,"خلال 60 يوم",IF(S334&lt;='القوائم والإعدادات'!$E$2,"خلال 90 يوم",""))),"")</f>
        <v/>
      </c>
      <c r="U334" s="7" t="str">
        <f>IF(B334="","",COUNTIF(التمديدات!$A$2:$A$301,B334))</f>
        <v/>
      </c>
      <c r="V334" s="10"/>
      <c r="W334" s="10"/>
      <c r="X334" s="7" t="str">
        <f t="shared" si="16"/>
        <v/>
      </c>
    </row>
    <row r="335" spans="1:24">
      <c r="A335" s="7">
        <v>334</v>
      </c>
      <c r="B335" s="10"/>
      <c r="C335" s="10"/>
      <c r="D335" s="10"/>
      <c r="E335" s="10"/>
      <c r="F335" s="10"/>
      <c r="G335" s="11"/>
      <c r="H335" s="11"/>
      <c r="I335" s="11"/>
      <c r="J335" s="12" t="str">
        <f>IF(B335="","",MAX(I335,_xlfn.MAXIFS(التمديدات!$C$2:$C$301,التمديدات!$A$2:$A$301,B335)))</f>
        <v/>
      </c>
      <c r="K335" s="7" t="str">
        <f t="shared" si="17"/>
        <v/>
      </c>
      <c r="L335" s="26"/>
      <c r="M335" s="27"/>
      <c r="N335" s="10"/>
      <c r="O335" s="10"/>
      <c r="P335" s="10"/>
      <c r="Q335" s="10"/>
      <c r="R335" s="7" t="str">
        <f ca="1">IF(B335="","",IF(Q335&lt;&gt;"",Q335,IF(H335&gt;TODAY(),"لم يبدأ بعد",IF(J335&lt;TODAY(),"منتهٍ",IF(J335-TODAY()&lt;='القوائم والإعدادات'!$E$2,"قريب الانتهاء","ساري")))))</f>
        <v/>
      </c>
      <c r="S335" s="7" t="str">
        <f t="shared" ca="1" si="15"/>
        <v/>
      </c>
      <c r="T335" s="7" t="str">
        <f ca="1">IF(OR(R335="ساري",R335="قريب الانتهاء"),IF(S335&lt;='القوائم والإعدادات'!$E$4,"عاجل",IF(S335&lt;='القوائم والإعدادات'!$E$3,"خلال 60 يوم",IF(S335&lt;='القوائم والإعدادات'!$E$2,"خلال 90 يوم",""))),"")</f>
        <v/>
      </c>
      <c r="U335" s="7" t="str">
        <f>IF(B335="","",COUNTIF(التمديدات!$A$2:$A$301,B335))</f>
        <v/>
      </c>
      <c r="V335" s="10"/>
      <c r="W335" s="10"/>
      <c r="X335" s="7" t="str">
        <f t="shared" si="16"/>
        <v/>
      </c>
    </row>
    <row r="336" spans="1:24">
      <c r="A336" s="7">
        <v>335</v>
      </c>
      <c r="B336" s="10"/>
      <c r="C336" s="10"/>
      <c r="D336" s="10"/>
      <c r="E336" s="10"/>
      <c r="F336" s="10"/>
      <c r="G336" s="11"/>
      <c r="H336" s="11"/>
      <c r="I336" s="11"/>
      <c r="J336" s="12" t="str">
        <f>IF(B336="","",MAX(I336,_xlfn.MAXIFS(التمديدات!$C$2:$C$301,التمديدات!$A$2:$A$301,B336)))</f>
        <v/>
      </c>
      <c r="K336" s="7" t="str">
        <f t="shared" si="17"/>
        <v/>
      </c>
      <c r="L336" s="26"/>
      <c r="M336" s="27"/>
      <c r="N336" s="10"/>
      <c r="O336" s="10"/>
      <c r="P336" s="10"/>
      <c r="Q336" s="10"/>
      <c r="R336" s="7" t="str">
        <f ca="1">IF(B336="","",IF(Q336&lt;&gt;"",Q336,IF(H336&gt;TODAY(),"لم يبدأ بعد",IF(J336&lt;TODAY(),"منتهٍ",IF(J336-TODAY()&lt;='القوائم والإعدادات'!$E$2,"قريب الانتهاء","ساري")))))</f>
        <v/>
      </c>
      <c r="S336" s="7" t="str">
        <f t="shared" ca="1" si="15"/>
        <v/>
      </c>
      <c r="T336" s="7" t="str">
        <f ca="1">IF(OR(R336="ساري",R336="قريب الانتهاء"),IF(S336&lt;='القوائم والإعدادات'!$E$4,"عاجل",IF(S336&lt;='القوائم والإعدادات'!$E$3,"خلال 60 يوم",IF(S336&lt;='القوائم والإعدادات'!$E$2,"خلال 90 يوم",""))),"")</f>
        <v/>
      </c>
      <c r="U336" s="7" t="str">
        <f>IF(B336="","",COUNTIF(التمديدات!$A$2:$A$301,B336))</f>
        <v/>
      </c>
      <c r="V336" s="10"/>
      <c r="W336" s="10"/>
      <c r="X336" s="7" t="str">
        <f t="shared" si="16"/>
        <v/>
      </c>
    </row>
    <row r="337" spans="1:24">
      <c r="A337" s="7">
        <v>336</v>
      </c>
      <c r="B337" s="10"/>
      <c r="C337" s="10"/>
      <c r="D337" s="10"/>
      <c r="E337" s="10"/>
      <c r="F337" s="10"/>
      <c r="G337" s="11"/>
      <c r="H337" s="11"/>
      <c r="I337" s="11"/>
      <c r="J337" s="12" t="str">
        <f>IF(B337="","",MAX(I337,_xlfn.MAXIFS(التمديدات!$C$2:$C$301,التمديدات!$A$2:$A$301,B337)))</f>
        <v/>
      </c>
      <c r="K337" s="7" t="str">
        <f t="shared" si="17"/>
        <v/>
      </c>
      <c r="L337" s="26"/>
      <c r="M337" s="27"/>
      <c r="N337" s="10"/>
      <c r="O337" s="10"/>
      <c r="P337" s="10"/>
      <c r="Q337" s="10"/>
      <c r="R337" s="7" t="str">
        <f ca="1">IF(B337="","",IF(Q337&lt;&gt;"",Q337,IF(H337&gt;TODAY(),"لم يبدأ بعد",IF(J337&lt;TODAY(),"منتهٍ",IF(J337-TODAY()&lt;='القوائم والإعدادات'!$E$2,"قريب الانتهاء","ساري")))))</f>
        <v/>
      </c>
      <c r="S337" s="7" t="str">
        <f t="shared" ca="1" si="15"/>
        <v/>
      </c>
      <c r="T337" s="7" t="str">
        <f ca="1">IF(OR(R337="ساري",R337="قريب الانتهاء"),IF(S337&lt;='القوائم والإعدادات'!$E$4,"عاجل",IF(S337&lt;='القوائم والإعدادات'!$E$3,"خلال 60 يوم",IF(S337&lt;='القوائم والإعدادات'!$E$2,"خلال 90 يوم",""))),"")</f>
        <v/>
      </c>
      <c r="U337" s="7" t="str">
        <f>IF(B337="","",COUNTIF(التمديدات!$A$2:$A$301,B337))</f>
        <v/>
      </c>
      <c r="V337" s="10"/>
      <c r="W337" s="10"/>
      <c r="X337" s="7" t="str">
        <f t="shared" si="16"/>
        <v/>
      </c>
    </row>
    <row r="338" spans="1:24">
      <c r="A338" s="7">
        <v>337</v>
      </c>
      <c r="B338" s="10"/>
      <c r="C338" s="10"/>
      <c r="D338" s="10"/>
      <c r="E338" s="10"/>
      <c r="F338" s="10"/>
      <c r="G338" s="11"/>
      <c r="H338" s="11"/>
      <c r="I338" s="11"/>
      <c r="J338" s="12" t="str">
        <f>IF(B338="","",MAX(I338,_xlfn.MAXIFS(التمديدات!$C$2:$C$301,التمديدات!$A$2:$A$301,B338)))</f>
        <v/>
      </c>
      <c r="K338" s="7" t="str">
        <f t="shared" si="17"/>
        <v/>
      </c>
      <c r="L338" s="26"/>
      <c r="M338" s="27"/>
      <c r="N338" s="10"/>
      <c r="O338" s="10"/>
      <c r="P338" s="10"/>
      <c r="Q338" s="10"/>
      <c r="R338" s="7" t="str">
        <f ca="1">IF(B338="","",IF(Q338&lt;&gt;"",Q338,IF(H338&gt;TODAY(),"لم يبدأ بعد",IF(J338&lt;TODAY(),"منتهٍ",IF(J338-TODAY()&lt;='القوائم والإعدادات'!$E$2,"قريب الانتهاء","ساري")))))</f>
        <v/>
      </c>
      <c r="S338" s="7" t="str">
        <f t="shared" ref="S338:S401" ca="1" si="18">IF(B338="","",J338-TODAY())</f>
        <v/>
      </c>
      <c r="T338" s="7" t="str">
        <f ca="1">IF(OR(R338="ساري",R338="قريب الانتهاء"),IF(S338&lt;='القوائم والإعدادات'!$E$4,"عاجل",IF(S338&lt;='القوائم والإعدادات'!$E$3,"خلال 60 يوم",IF(S338&lt;='القوائم والإعدادات'!$E$2,"خلال 90 يوم",""))),"")</f>
        <v/>
      </c>
      <c r="U338" s="7" t="str">
        <f>IF(B338="","",COUNTIF(التمديدات!$A$2:$A$301,B338))</f>
        <v/>
      </c>
      <c r="V338" s="10"/>
      <c r="W338" s="10"/>
      <c r="X338" s="7" t="str">
        <f t="shared" ref="X338:X401" si="19">IF(B338="","",IF(COUNTIFS($B$2:$B$501,B338,$D$2:$D$501,D338)&gt;1,"مكرر!",""))</f>
        <v/>
      </c>
    </row>
    <row r="339" spans="1:24">
      <c r="A339" s="7">
        <v>338</v>
      </c>
      <c r="B339" s="10"/>
      <c r="C339" s="10"/>
      <c r="D339" s="10"/>
      <c r="E339" s="10"/>
      <c r="F339" s="10"/>
      <c r="G339" s="11"/>
      <c r="H339" s="11"/>
      <c r="I339" s="11"/>
      <c r="J339" s="12" t="str">
        <f>IF(B339="","",MAX(I339,_xlfn.MAXIFS(التمديدات!$C$2:$C$301,التمديدات!$A$2:$A$301,B339)))</f>
        <v/>
      </c>
      <c r="K339" s="7" t="str">
        <f t="shared" si="17"/>
        <v/>
      </c>
      <c r="L339" s="26"/>
      <c r="M339" s="27"/>
      <c r="N339" s="10"/>
      <c r="O339" s="10"/>
      <c r="P339" s="10"/>
      <c r="Q339" s="10"/>
      <c r="R339" s="7" t="str">
        <f ca="1">IF(B339="","",IF(Q339&lt;&gt;"",Q339,IF(H339&gt;TODAY(),"لم يبدأ بعد",IF(J339&lt;TODAY(),"منتهٍ",IF(J339-TODAY()&lt;='القوائم والإعدادات'!$E$2,"قريب الانتهاء","ساري")))))</f>
        <v/>
      </c>
      <c r="S339" s="7" t="str">
        <f t="shared" ca="1" si="18"/>
        <v/>
      </c>
      <c r="T339" s="7" t="str">
        <f ca="1">IF(OR(R339="ساري",R339="قريب الانتهاء"),IF(S339&lt;='القوائم والإعدادات'!$E$4,"عاجل",IF(S339&lt;='القوائم والإعدادات'!$E$3,"خلال 60 يوم",IF(S339&lt;='القوائم والإعدادات'!$E$2,"خلال 90 يوم",""))),"")</f>
        <v/>
      </c>
      <c r="U339" s="7" t="str">
        <f>IF(B339="","",COUNTIF(التمديدات!$A$2:$A$301,B339))</f>
        <v/>
      </c>
      <c r="V339" s="10"/>
      <c r="W339" s="10"/>
      <c r="X339" s="7" t="str">
        <f t="shared" si="19"/>
        <v/>
      </c>
    </row>
    <row r="340" spans="1:24">
      <c r="A340" s="7">
        <v>339</v>
      </c>
      <c r="B340" s="10"/>
      <c r="C340" s="10"/>
      <c r="D340" s="10"/>
      <c r="E340" s="10"/>
      <c r="F340" s="10"/>
      <c r="G340" s="11"/>
      <c r="H340" s="11"/>
      <c r="I340" s="11"/>
      <c r="J340" s="12" t="str">
        <f>IF(B340="","",MAX(I340,_xlfn.MAXIFS(التمديدات!$C$2:$C$301,التمديدات!$A$2:$A$301,B340)))</f>
        <v/>
      </c>
      <c r="K340" s="7" t="str">
        <f t="shared" si="17"/>
        <v/>
      </c>
      <c r="L340" s="26"/>
      <c r="M340" s="27"/>
      <c r="N340" s="10"/>
      <c r="O340" s="10"/>
      <c r="P340" s="10"/>
      <c r="Q340" s="10"/>
      <c r="R340" s="7" t="str">
        <f ca="1">IF(B340="","",IF(Q340&lt;&gt;"",Q340,IF(H340&gt;TODAY(),"لم يبدأ بعد",IF(J340&lt;TODAY(),"منتهٍ",IF(J340-TODAY()&lt;='القوائم والإعدادات'!$E$2,"قريب الانتهاء","ساري")))))</f>
        <v/>
      </c>
      <c r="S340" s="7" t="str">
        <f t="shared" ca="1" si="18"/>
        <v/>
      </c>
      <c r="T340" s="7" t="str">
        <f ca="1">IF(OR(R340="ساري",R340="قريب الانتهاء"),IF(S340&lt;='القوائم والإعدادات'!$E$4,"عاجل",IF(S340&lt;='القوائم والإعدادات'!$E$3,"خلال 60 يوم",IF(S340&lt;='القوائم والإعدادات'!$E$2,"خلال 90 يوم",""))),"")</f>
        <v/>
      </c>
      <c r="U340" s="7" t="str">
        <f>IF(B340="","",COUNTIF(التمديدات!$A$2:$A$301,B340))</f>
        <v/>
      </c>
      <c r="V340" s="10"/>
      <c r="W340" s="10"/>
      <c r="X340" s="7" t="str">
        <f t="shared" si="19"/>
        <v/>
      </c>
    </row>
    <row r="341" spans="1:24">
      <c r="A341" s="7">
        <v>340</v>
      </c>
      <c r="B341" s="10"/>
      <c r="C341" s="10"/>
      <c r="D341" s="10"/>
      <c r="E341" s="10"/>
      <c r="F341" s="10"/>
      <c r="G341" s="11"/>
      <c r="H341" s="11"/>
      <c r="I341" s="11"/>
      <c r="J341" s="12" t="str">
        <f>IF(B341="","",MAX(I341,_xlfn.MAXIFS(التمديدات!$C$2:$C$301,التمديدات!$A$2:$A$301,B341)))</f>
        <v/>
      </c>
      <c r="K341" s="7" t="str">
        <f t="shared" si="17"/>
        <v/>
      </c>
      <c r="L341" s="26"/>
      <c r="M341" s="27"/>
      <c r="N341" s="10"/>
      <c r="O341" s="10"/>
      <c r="P341" s="10"/>
      <c r="Q341" s="10"/>
      <c r="R341" s="7" t="str">
        <f ca="1">IF(B341="","",IF(Q341&lt;&gt;"",Q341,IF(H341&gt;TODAY(),"لم يبدأ بعد",IF(J341&lt;TODAY(),"منتهٍ",IF(J341-TODAY()&lt;='القوائم والإعدادات'!$E$2,"قريب الانتهاء","ساري")))))</f>
        <v/>
      </c>
      <c r="S341" s="7" t="str">
        <f t="shared" ca="1" si="18"/>
        <v/>
      </c>
      <c r="T341" s="7" t="str">
        <f ca="1">IF(OR(R341="ساري",R341="قريب الانتهاء"),IF(S341&lt;='القوائم والإعدادات'!$E$4,"عاجل",IF(S341&lt;='القوائم والإعدادات'!$E$3,"خلال 60 يوم",IF(S341&lt;='القوائم والإعدادات'!$E$2,"خلال 90 يوم",""))),"")</f>
        <v/>
      </c>
      <c r="U341" s="7" t="str">
        <f>IF(B341="","",COUNTIF(التمديدات!$A$2:$A$301,B341))</f>
        <v/>
      </c>
      <c r="V341" s="10"/>
      <c r="W341" s="10"/>
      <c r="X341" s="7" t="str">
        <f t="shared" si="19"/>
        <v/>
      </c>
    </row>
    <row r="342" spans="1:24">
      <c r="A342" s="7">
        <v>341</v>
      </c>
      <c r="B342" s="10"/>
      <c r="C342" s="10"/>
      <c r="D342" s="10"/>
      <c r="E342" s="10"/>
      <c r="F342" s="10"/>
      <c r="G342" s="11"/>
      <c r="H342" s="11"/>
      <c r="I342" s="11"/>
      <c r="J342" s="12" t="str">
        <f>IF(B342="","",MAX(I342,_xlfn.MAXIFS(التمديدات!$C$2:$C$301,التمديدات!$A$2:$A$301,B342)))</f>
        <v/>
      </c>
      <c r="K342" s="7" t="str">
        <f t="shared" si="17"/>
        <v/>
      </c>
      <c r="L342" s="26"/>
      <c r="M342" s="27"/>
      <c r="N342" s="10"/>
      <c r="O342" s="10"/>
      <c r="P342" s="10"/>
      <c r="Q342" s="10"/>
      <c r="R342" s="7" t="str">
        <f ca="1">IF(B342="","",IF(Q342&lt;&gt;"",Q342,IF(H342&gt;TODAY(),"لم يبدأ بعد",IF(J342&lt;TODAY(),"منتهٍ",IF(J342-TODAY()&lt;='القوائم والإعدادات'!$E$2,"قريب الانتهاء","ساري")))))</f>
        <v/>
      </c>
      <c r="S342" s="7" t="str">
        <f t="shared" ca="1" si="18"/>
        <v/>
      </c>
      <c r="T342" s="7" t="str">
        <f ca="1">IF(OR(R342="ساري",R342="قريب الانتهاء"),IF(S342&lt;='القوائم والإعدادات'!$E$4,"عاجل",IF(S342&lt;='القوائم والإعدادات'!$E$3,"خلال 60 يوم",IF(S342&lt;='القوائم والإعدادات'!$E$2,"خلال 90 يوم",""))),"")</f>
        <v/>
      </c>
      <c r="U342" s="7" t="str">
        <f>IF(B342="","",COUNTIF(التمديدات!$A$2:$A$301,B342))</f>
        <v/>
      </c>
      <c r="V342" s="10"/>
      <c r="W342" s="10"/>
      <c r="X342" s="7" t="str">
        <f t="shared" si="19"/>
        <v/>
      </c>
    </row>
    <row r="343" spans="1:24">
      <c r="A343" s="7">
        <v>342</v>
      </c>
      <c r="B343" s="10"/>
      <c r="C343" s="10"/>
      <c r="D343" s="10"/>
      <c r="E343" s="10"/>
      <c r="F343" s="10"/>
      <c r="G343" s="11"/>
      <c r="H343" s="11"/>
      <c r="I343" s="11"/>
      <c r="J343" s="12" t="str">
        <f>IF(B343="","",MAX(I343,_xlfn.MAXIFS(التمديدات!$C$2:$C$301,التمديدات!$A$2:$A$301,B343)))</f>
        <v/>
      </c>
      <c r="K343" s="7" t="str">
        <f t="shared" si="17"/>
        <v/>
      </c>
      <c r="L343" s="26"/>
      <c r="M343" s="27"/>
      <c r="N343" s="10"/>
      <c r="O343" s="10"/>
      <c r="P343" s="10"/>
      <c r="Q343" s="10"/>
      <c r="R343" s="7" t="str">
        <f ca="1">IF(B343="","",IF(Q343&lt;&gt;"",Q343,IF(H343&gt;TODAY(),"لم يبدأ بعد",IF(J343&lt;TODAY(),"منتهٍ",IF(J343-TODAY()&lt;='القوائم والإعدادات'!$E$2,"قريب الانتهاء","ساري")))))</f>
        <v/>
      </c>
      <c r="S343" s="7" t="str">
        <f t="shared" ca="1" si="18"/>
        <v/>
      </c>
      <c r="T343" s="7" t="str">
        <f ca="1">IF(OR(R343="ساري",R343="قريب الانتهاء"),IF(S343&lt;='القوائم والإعدادات'!$E$4,"عاجل",IF(S343&lt;='القوائم والإعدادات'!$E$3,"خلال 60 يوم",IF(S343&lt;='القوائم والإعدادات'!$E$2,"خلال 90 يوم",""))),"")</f>
        <v/>
      </c>
      <c r="U343" s="7" t="str">
        <f>IF(B343="","",COUNTIF(التمديدات!$A$2:$A$301,B343))</f>
        <v/>
      </c>
      <c r="V343" s="10"/>
      <c r="W343" s="10"/>
      <c r="X343" s="7" t="str">
        <f t="shared" si="19"/>
        <v/>
      </c>
    </row>
    <row r="344" spans="1:24">
      <c r="A344" s="7">
        <v>343</v>
      </c>
      <c r="B344" s="10"/>
      <c r="C344" s="10"/>
      <c r="D344" s="10"/>
      <c r="E344" s="10"/>
      <c r="F344" s="10"/>
      <c r="G344" s="11"/>
      <c r="H344" s="11"/>
      <c r="I344" s="11"/>
      <c r="J344" s="12" t="str">
        <f>IF(B344="","",MAX(I344,_xlfn.MAXIFS(التمديدات!$C$2:$C$301,التمديدات!$A$2:$A$301,B344)))</f>
        <v/>
      </c>
      <c r="K344" s="7" t="str">
        <f t="shared" si="17"/>
        <v/>
      </c>
      <c r="L344" s="26"/>
      <c r="M344" s="27"/>
      <c r="N344" s="10"/>
      <c r="O344" s="10"/>
      <c r="P344" s="10"/>
      <c r="Q344" s="10"/>
      <c r="R344" s="7" t="str">
        <f ca="1">IF(B344="","",IF(Q344&lt;&gt;"",Q344,IF(H344&gt;TODAY(),"لم يبدأ بعد",IF(J344&lt;TODAY(),"منتهٍ",IF(J344-TODAY()&lt;='القوائم والإعدادات'!$E$2,"قريب الانتهاء","ساري")))))</f>
        <v/>
      </c>
      <c r="S344" s="7" t="str">
        <f t="shared" ca="1" si="18"/>
        <v/>
      </c>
      <c r="T344" s="7" t="str">
        <f ca="1">IF(OR(R344="ساري",R344="قريب الانتهاء"),IF(S344&lt;='القوائم والإعدادات'!$E$4,"عاجل",IF(S344&lt;='القوائم والإعدادات'!$E$3,"خلال 60 يوم",IF(S344&lt;='القوائم والإعدادات'!$E$2,"خلال 90 يوم",""))),"")</f>
        <v/>
      </c>
      <c r="U344" s="7" t="str">
        <f>IF(B344="","",COUNTIF(التمديدات!$A$2:$A$301,B344))</f>
        <v/>
      </c>
      <c r="V344" s="10"/>
      <c r="W344" s="10"/>
      <c r="X344" s="7" t="str">
        <f t="shared" si="19"/>
        <v/>
      </c>
    </row>
    <row r="345" spans="1:24">
      <c r="A345" s="7">
        <v>344</v>
      </c>
      <c r="B345" s="10"/>
      <c r="C345" s="10"/>
      <c r="D345" s="10"/>
      <c r="E345" s="10"/>
      <c r="F345" s="10"/>
      <c r="G345" s="11"/>
      <c r="H345" s="11"/>
      <c r="I345" s="11"/>
      <c r="J345" s="12" t="str">
        <f>IF(B345="","",MAX(I345,_xlfn.MAXIFS(التمديدات!$C$2:$C$301,التمديدات!$A$2:$A$301,B345)))</f>
        <v/>
      </c>
      <c r="K345" s="7" t="str">
        <f t="shared" si="17"/>
        <v/>
      </c>
      <c r="L345" s="26"/>
      <c r="M345" s="27"/>
      <c r="N345" s="10"/>
      <c r="O345" s="10"/>
      <c r="P345" s="10"/>
      <c r="Q345" s="10"/>
      <c r="R345" s="7" t="str">
        <f ca="1">IF(B345="","",IF(Q345&lt;&gt;"",Q345,IF(H345&gt;TODAY(),"لم يبدأ بعد",IF(J345&lt;TODAY(),"منتهٍ",IF(J345-TODAY()&lt;='القوائم والإعدادات'!$E$2,"قريب الانتهاء","ساري")))))</f>
        <v/>
      </c>
      <c r="S345" s="7" t="str">
        <f t="shared" ca="1" si="18"/>
        <v/>
      </c>
      <c r="T345" s="7" t="str">
        <f ca="1">IF(OR(R345="ساري",R345="قريب الانتهاء"),IF(S345&lt;='القوائم والإعدادات'!$E$4,"عاجل",IF(S345&lt;='القوائم والإعدادات'!$E$3,"خلال 60 يوم",IF(S345&lt;='القوائم والإعدادات'!$E$2,"خلال 90 يوم",""))),"")</f>
        <v/>
      </c>
      <c r="U345" s="7" t="str">
        <f>IF(B345="","",COUNTIF(التمديدات!$A$2:$A$301,B345))</f>
        <v/>
      </c>
      <c r="V345" s="10"/>
      <c r="W345" s="10"/>
      <c r="X345" s="7" t="str">
        <f t="shared" si="19"/>
        <v/>
      </c>
    </row>
    <row r="346" spans="1:24">
      <c r="A346" s="7">
        <v>345</v>
      </c>
      <c r="B346" s="10"/>
      <c r="C346" s="10"/>
      <c r="D346" s="10"/>
      <c r="E346" s="10"/>
      <c r="F346" s="10"/>
      <c r="G346" s="11"/>
      <c r="H346" s="11"/>
      <c r="I346" s="11"/>
      <c r="J346" s="12" t="str">
        <f>IF(B346="","",MAX(I346,_xlfn.MAXIFS(التمديدات!$C$2:$C$301,التمديدات!$A$2:$A$301,B346)))</f>
        <v/>
      </c>
      <c r="K346" s="7" t="str">
        <f t="shared" si="17"/>
        <v/>
      </c>
      <c r="L346" s="26"/>
      <c r="M346" s="27"/>
      <c r="N346" s="10"/>
      <c r="O346" s="10"/>
      <c r="P346" s="10"/>
      <c r="Q346" s="10"/>
      <c r="R346" s="7" t="str">
        <f ca="1">IF(B346="","",IF(Q346&lt;&gt;"",Q346,IF(H346&gt;TODAY(),"لم يبدأ بعد",IF(J346&lt;TODAY(),"منتهٍ",IF(J346-TODAY()&lt;='القوائم والإعدادات'!$E$2,"قريب الانتهاء","ساري")))))</f>
        <v/>
      </c>
      <c r="S346" s="7" t="str">
        <f t="shared" ca="1" si="18"/>
        <v/>
      </c>
      <c r="T346" s="7" t="str">
        <f ca="1">IF(OR(R346="ساري",R346="قريب الانتهاء"),IF(S346&lt;='القوائم والإعدادات'!$E$4,"عاجل",IF(S346&lt;='القوائم والإعدادات'!$E$3,"خلال 60 يوم",IF(S346&lt;='القوائم والإعدادات'!$E$2,"خلال 90 يوم",""))),"")</f>
        <v/>
      </c>
      <c r="U346" s="7" t="str">
        <f>IF(B346="","",COUNTIF(التمديدات!$A$2:$A$301,B346))</f>
        <v/>
      </c>
      <c r="V346" s="10"/>
      <c r="W346" s="10"/>
      <c r="X346" s="7" t="str">
        <f t="shared" si="19"/>
        <v/>
      </c>
    </row>
    <row r="347" spans="1:24">
      <c r="A347" s="7">
        <v>346</v>
      </c>
      <c r="B347" s="10"/>
      <c r="C347" s="10"/>
      <c r="D347" s="10"/>
      <c r="E347" s="10"/>
      <c r="F347" s="10"/>
      <c r="G347" s="11"/>
      <c r="H347" s="11"/>
      <c r="I347" s="11"/>
      <c r="J347" s="12" t="str">
        <f>IF(B347="","",MAX(I347,_xlfn.MAXIFS(التمديدات!$C$2:$C$301,التمديدات!$A$2:$A$301,B347)))</f>
        <v/>
      </c>
      <c r="K347" s="7" t="str">
        <f t="shared" si="17"/>
        <v/>
      </c>
      <c r="L347" s="26"/>
      <c r="M347" s="27"/>
      <c r="N347" s="10"/>
      <c r="O347" s="10"/>
      <c r="P347" s="10"/>
      <c r="Q347" s="10"/>
      <c r="R347" s="7" t="str">
        <f ca="1">IF(B347="","",IF(Q347&lt;&gt;"",Q347,IF(H347&gt;TODAY(),"لم يبدأ بعد",IF(J347&lt;TODAY(),"منتهٍ",IF(J347-TODAY()&lt;='القوائم والإعدادات'!$E$2,"قريب الانتهاء","ساري")))))</f>
        <v/>
      </c>
      <c r="S347" s="7" t="str">
        <f t="shared" ca="1" si="18"/>
        <v/>
      </c>
      <c r="T347" s="7" t="str">
        <f ca="1">IF(OR(R347="ساري",R347="قريب الانتهاء"),IF(S347&lt;='القوائم والإعدادات'!$E$4,"عاجل",IF(S347&lt;='القوائم والإعدادات'!$E$3,"خلال 60 يوم",IF(S347&lt;='القوائم والإعدادات'!$E$2,"خلال 90 يوم",""))),"")</f>
        <v/>
      </c>
      <c r="U347" s="7" t="str">
        <f>IF(B347="","",COUNTIF(التمديدات!$A$2:$A$301,B347))</f>
        <v/>
      </c>
      <c r="V347" s="10"/>
      <c r="W347" s="10"/>
      <c r="X347" s="7" t="str">
        <f t="shared" si="19"/>
        <v/>
      </c>
    </row>
    <row r="348" spans="1:24">
      <c r="A348" s="7">
        <v>347</v>
      </c>
      <c r="B348" s="10"/>
      <c r="C348" s="10"/>
      <c r="D348" s="10"/>
      <c r="E348" s="10"/>
      <c r="F348" s="10"/>
      <c r="G348" s="11"/>
      <c r="H348" s="11"/>
      <c r="I348" s="11"/>
      <c r="J348" s="12" t="str">
        <f>IF(B348="","",MAX(I348,_xlfn.MAXIFS(التمديدات!$C$2:$C$301,التمديدات!$A$2:$A$301,B348)))</f>
        <v/>
      </c>
      <c r="K348" s="7" t="str">
        <f t="shared" si="17"/>
        <v/>
      </c>
      <c r="L348" s="26"/>
      <c r="M348" s="27"/>
      <c r="N348" s="10"/>
      <c r="O348" s="10"/>
      <c r="P348" s="10"/>
      <c r="Q348" s="10"/>
      <c r="R348" s="7" t="str">
        <f ca="1">IF(B348="","",IF(Q348&lt;&gt;"",Q348,IF(H348&gt;TODAY(),"لم يبدأ بعد",IF(J348&lt;TODAY(),"منتهٍ",IF(J348-TODAY()&lt;='القوائم والإعدادات'!$E$2,"قريب الانتهاء","ساري")))))</f>
        <v/>
      </c>
      <c r="S348" s="7" t="str">
        <f t="shared" ca="1" si="18"/>
        <v/>
      </c>
      <c r="T348" s="7" t="str">
        <f ca="1">IF(OR(R348="ساري",R348="قريب الانتهاء"),IF(S348&lt;='القوائم والإعدادات'!$E$4,"عاجل",IF(S348&lt;='القوائم والإعدادات'!$E$3,"خلال 60 يوم",IF(S348&lt;='القوائم والإعدادات'!$E$2,"خلال 90 يوم",""))),"")</f>
        <v/>
      </c>
      <c r="U348" s="7" t="str">
        <f>IF(B348="","",COUNTIF(التمديدات!$A$2:$A$301,B348))</f>
        <v/>
      </c>
      <c r="V348" s="10"/>
      <c r="W348" s="10"/>
      <c r="X348" s="7" t="str">
        <f t="shared" si="19"/>
        <v/>
      </c>
    </row>
    <row r="349" spans="1:24">
      <c r="A349" s="7">
        <v>348</v>
      </c>
      <c r="B349" s="10"/>
      <c r="C349" s="10"/>
      <c r="D349" s="10"/>
      <c r="E349" s="10"/>
      <c r="F349" s="10"/>
      <c r="G349" s="11"/>
      <c r="H349" s="11"/>
      <c r="I349" s="11"/>
      <c r="J349" s="12" t="str">
        <f>IF(B349="","",MAX(I349,_xlfn.MAXIFS(التمديدات!$C$2:$C$301,التمديدات!$A$2:$A$301,B349)))</f>
        <v/>
      </c>
      <c r="K349" s="7" t="str">
        <f t="shared" si="17"/>
        <v/>
      </c>
      <c r="L349" s="26"/>
      <c r="M349" s="27"/>
      <c r="N349" s="10"/>
      <c r="O349" s="10"/>
      <c r="P349" s="10"/>
      <c r="Q349" s="10"/>
      <c r="R349" s="7" t="str">
        <f ca="1">IF(B349="","",IF(Q349&lt;&gt;"",Q349,IF(H349&gt;TODAY(),"لم يبدأ بعد",IF(J349&lt;TODAY(),"منتهٍ",IF(J349-TODAY()&lt;='القوائم والإعدادات'!$E$2,"قريب الانتهاء","ساري")))))</f>
        <v/>
      </c>
      <c r="S349" s="7" t="str">
        <f t="shared" ca="1" si="18"/>
        <v/>
      </c>
      <c r="T349" s="7" t="str">
        <f ca="1">IF(OR(R349="ساري",R349="قريب الانتهاء"),IF(S349&lt;='القوائم والإعدادات'!$E$4,"عاجل",IF(S349&lt;='القوائم والإعدادات'!$E$3,"خلال 60 يوم",IF(S349&lt;='القوائم والإعدادات'!$E$2,"خلال 90 يوم",""))),"")</f>
        <v/>
      </c>
      <c r="U349" s="7" t="str">
        <f>IF(B349="","",COUNTIF(التمديدات!$A$2:$A$301,B349))</f>
        <v/>
      </c>
      <c r="V349" s="10"/>
      <c r="W349" s="10"/>
      <c r="X349" s="7" t="str">
        <f t="shared" si="19"/>
        <v/>
      </c>
    </row>
    <row r="350" spans="1:24">
      <c r="A350" s="7">
        <v>349</v>
      </c>
      <c r="B350" s="10"/>
      <c r="C350" s="10"/>
      <c r="D350" s="10"/>
      <c r="E350" s="10"/>
      <c r="F350" s="10"/>
      <c r="G350" s="11"/>
      <c r="H350" s="11"/>
      <c r="I350" s="11"/>
      <c r="J350" s="12" t="str">
        <f>IF(B350="","",MAX(I350,_xlfn.MAXIFS(التمديدات!$C$2:$C$301,التمديدات!$A$2:$A$301,B350)))</f>
        <v/>
      </c>
      <c r="K350" s="7" t="str">
        <f t="shared" si="17"/>
        <v/>
      </c>
      <c r="L350" s="26"/>
      <c r="M350" s="27"/>
      <c r="N350" s="10"/>
      <c r="O350" s="10"/>
      <c r="P350" s="10"/>
      <c r="Q350" s="10"/>
      <c r="R350" s="7" t="str">
        <f ca="1">IF(B350="","",IF(Q350&lt;&gt;"",Q350,IF(H350&gt;TODAY(),"لم يبدأ بعد",IF(J350&lt;TODAY(),"منتهٍ",IF(J350-TODAY()&lt;='القوائم والإعدادات'!$E$2,"قريب الانتهاء","ساري")))))</f>
        <v/>
      </c>
      <c r="S350" s="7" t="str">
        <f t="shared" ca="1" si="18"/>
        <v/>
      </c>
      <c r="T350" s="7" t="str">
        <f ca="1">IF(OR(R350="ساري",R350="قريب الانتهاء"),IF(S350&lt;='القوائم والإعدادات'!$E$4,"عاجل",IF(S350&lt;='القوائم والإعدادات'!$E$3,"خلال 60 يوم",IF(S350&lt;='القوائم والإعدادات'!$E$2,"خلال 90 يوم",""))),"")</f>
        <v/>
      </c>
      <c r="U350" s="7" t="str">
        <f>IF(B350="","",COUNTIF(التمديدات!$A$2:$A$301,B350))</f>
        <v/>
      </c>
      <c r="V350" s="10"/>
      <c r="W350" s="10"/>
      <c r="X350" s="7" t="str">
        <f t="shared" si="19"/>
        <v/>
      </c>
    </row>
    <row r="351" spans="1:24">
      <c r="A351" s="7">
        <v>350</v>
      </c>
      <c r="B351" s="10"/>
      <c r="C351" s="10"/>
      <c r="D351" s="10"/>
      <c r="E351" s="10"/>
      <c r="F351" s="10"/>
      <c r="G351" s="11"/>
      <c r="H351" s="11"/>
      <c r="I351" s="11"/>
      <c r="J351" s="12" t="str">
        <f>IF(B351="","",MAX(I351,_xlfn.MAXIFS(التمديدات!$C$2:$C$301,التمديدات!$A$2:$A$301,B351)))</f>
        <v/>
      </c>
      <c r="K351" s="7" t="str">
        <f t="shared" si="17"/>
        <v/>
      </c>
      <c r="L351" s="26"/>
      <c r="M351" s="27"/>
      <c r="N351" s="10"/>
      <c r="O351" s="10"/>
      <c r="P351" s="10"/>
      <c r="Q351" s="10"/>
      <c r="R351" s="7" t="str">
        <f ca="1">IF(B351="","",IF(Q351&lt;&gt;"",Q351,IF(H351&gt;TODAY(),"لم يبدأ بعد",IF(J351&lt;TODAY(),"منتهٍ",IF(J351-TODAY()&lt;='القوائم والإعدادات'!$E$2,"قريب الانتهاء","ساري")))))</f>
        <v/>
      </c>
      <c r="S351" s="7" t="str">
        <f t="shared" ca="1" si="18"/>
        <v/>
      </c>
      <c r="T351" s="7" t="str">
        <f ca="1">IF(OR(R351="ساري",R351="قريب الانتهاء"),IF(S351&lt;='القوائم والإعدادات'!$E$4,"عاجل",IF(S351&lt;='القوائم والإعدادات'!$E$3,"خلال 60 يوم",IF(S351&lt;='القوائم والإعدادات'!$E$2,"خلال 90 يوم",""))),"")</f>
        <v/>
      </c>
      <c r="U351" s="7" t="str">
        <f>IF(B351="","",COUNTIF(التمديدات!$A$2:$A$301,B351))</f>
        <v/>
      </c>
      <c r="V351" s="10"/>
      <c r="W351" s="10"/>
      <c r="X351" s="7" t="str">
        <f t="shared" si="19"/>
        <v/>
      </c>
    </row>
    <row r="352" spans="1:24">
      <c r="A352" s="7">
        <v>351</v>
      </c>
      <c r="B352" s="10"/>
      <c r="C352" s="10"/>
      <c r="D352" s="10"/>
      <c r="E352" s="10"/>
      <c r="F352" s="10"/>
      <c r="G352" s="11"/>
      <c r="H352" s="11"/>
      <c r="I352" s="11"/>
      <c r="J352" s="12" t="str">
        <f>IF(B352="","",MAX(I352,_xlfn.MAXIFS(التمديدات!$C$2:$C$301,التمديدات!$A$2:$A$301,B352)))</f>
        <v/>
      </c>
      <c r="K352" s="7" t="str">
        <f t="shared" si="17"/>
        <v/>
      </c>
      <c r="L352" s="26"/>
      <c r="M352" s="27"/>
      <c r="N352" s="10"/>
      <c r="O352" s="10"/>
      <c r="P352" s="10"/>
      <c r="Q352" s="10"/>
      <c r="R352" s="7" t="str">
        <f ca="1">IF(B352="","",IF(Q352&lt;&gt;"",Q352,IF(H352&gt;TODAY(),"لم يبدأ بعد",IF(J352&lt;TODAY(),"منتهٍ",IF(J352-TODAY()&lt;='القوائم والإعدادات'!$E$2,"قريب الانتهاء","ساري")))))</f>
        <v/>
      </c>
      <c r="S352" s="7" t="str">
        <f t="shared" ca="1" si="18"/>
        <v/>
      </c>
      <c r="T352" s="7" t="str">
        <f ca="1">IF(OR(R352="ساري",R352="قريب الانتهاء"),IF(S352&lt;='القوائم والإعدادات'!$E$4,"عاجل",IF(S352&lt;='القوائم والإعدادات'!$E$3,"خلال 60 يوم",IF(S352&lt;='القوائم والإعدادات'!$E$2,"خلال 90 يوم",""))),"")</f>
        <v/>
      </c>
      <c r="U352" s="7" t="str">
        <f>IF(B352="","",COUNTIF(التمديدات!$A$2:$A$301,B352))</f>
        <v/>
      </c>
      <c r="V352" s="10"/>
      <c r="W352" s="10"/>
      <c r="X352" s="7" t="str">
        <f t="shared" si="19"/>
        <v/>
      </c>
    </row>
    <row r="353" spans="1:24">
      <c r="A353" s="7">
        <v>352</v>
      </c>
      <c r="B353" s="10"/>
      <c r="C353" s="10"/>
      <c r="D353" s="10"/>
      <c r="E353" s="10"/>
      <c r="F353" s="10"/>
      <c r="G353" s="11"/>
      <c r="H353" s="11"/>
      <c r="I353" s="11"/>
      <c r="J353" s="12" t="str">
        <f>IF(B353="","",MAX(I353,_xlfn.MAXIFS(التمديدات!$C$2:$C$301,التمديدات!$A$2:$A$301,B353)))</f>
        <v/>
      </c>
      <c r="K353" s="7" t="str">
        <f t="shared" si="17"/>
        <v/>
      </c>
      <c r="L353" s="26"/>
      <c r="M353" s="27"/>
      <c r="N353" s="10"/>
      <c r="O353" s="10"/>
      <c r="P353" s="10"/>
      <c r="Q353" s="10"/>
      <c r="R353" s="7" t="str">
        <f ca="1">IF(B353="","",IF(Q353&lt;&gt;"",Q353,IF(H353&gt;TODAY(),"لم يبدأ بعد",IF(J353&lt;TODAY(),"منتهٍ",IF(J353-TODAY()&lt;='القوائم والإعدادات'!$E$2,"قريب الانتهاء","ساري")))))</f>
        <v/>
      </c>
      <c r="S353" s="7" t="str">
        <f t="shared" ca="1" si="18"/>
        <v/>
      </c>
      <c r="T353" s="7" t="str">
        <f ca="1">IF(OR(R353="ساري",R353="قريب الانتهاء"),IF(S353&lt;='القوائم والإعدادات'!$E$4,"عاجل",IF(S353&lt;='القوائم والإعدادات'!$E$3,"خلال 60 يوم",IF(S353&lt;='القوائم والإعدادات'!$E$2,"خلال 90 يوم",""))),"")</f>
        <v/>
      </c>
      <c r="U353" s="7" t="str">
        <f>IF(B353="","",COUNTIF(التمديدات!$A$2:$A$301,B353))</f>
        <v/>
      </c>
      <c r="V353" s="10"/>
      <c r="W353" s="10"/>
      <c r="X353" s="7" t="str">
        <f t="shared" si="19"/>
        <v/>
      </c>
    </row>
    <row r="354" spans="1:24">
      <c r="A354" s="7">
        <v>353</v>
      </c>
      <c r="B354" s="10"/>
      <c r="C354" s="10"/>
      <c r="D354" s="10"/>
      <c r="E354" s="10"/>
      <c r="F354" s="10"/>
      <c r="G354" s="11"/>
      <c r="H354" s="11"/>
      <c r="I354" s="11"/>
      <c r="J354" s="12" t="str">
        <f>IF(B354="","",MAX(I354,_xlfn.MAXIFS(التمديدات!$C$2:$C$301,التمديدات!$A$2:$A$301,B354)))</f>
        <v/>
      </c>
      <c r="K354" s="7" t="str">
        <f t="shared" si="17"/>
        <v/>
      </c>
      <c r="L354" s="26"/>
      <c r="M354" s="27"/>
      <c r="N354" s="10"/>
      <c r="O354" s="10"/>
      <c r="P354" s="10"/>
      <c r="Q354" s="10"/>
      <c r="R354" s="7" t="str">
        <f ca="1">IF(B354="","",IF(Q354&lt;&gt;"",Q354,IF(H354&gt;TODAY(),"لم يبدأ بعد",IF(J354&lt;TODAY(),"منتهٍ",IF(J354-TODAY()&lt;='القوائم والإعدادات'!$E$2,"قريب الانتهاء","ساري")))))</f>
        <v/>
      </c>
      <c r="S354" s="7" t="str">
        <f t="shared" ca="1" si="18"/>
        <v/>
      </c>
      <c r="T354" s="7" t="str">
        <f ca="1">IF(OR(R354="ساري",R354="قريب الانتهاء"),IF(S354&lt;='القوائم والإعدادات'!$E$4,"عاجل",IF(S354&lt;='القوائم والإعدادات'!$E$3,"خلال 60 يوم",IF(S354&lt;='القوائم والإعدادات'!$E$2,"خلال 90 يوم",""))),"")</f>
        <v/>
      </c>
      <c r="U354" s="7" t="str">
        <f>IF(B354="","",COUNTIF(التمديدات!$A$2:$A$301,B354))</f>
        <v/>
      </c>
      <c r="V354" s="10"/>
      <c r="W354" s="10"/>
      <c r="X354" s="7" t="str">
        <f t="shared" si="19"/>
        <v/>
      </c>
    </row>
    <row r="355" spans="1:24">
      <c r="A355" s="7">
        <v>354</v>
      </c>
      <c r="B355" s="10"/>
      <c r="C355" s="10"/>
      <c r="D355" s="10"/>
      <c r="E355" s="10"/>
      <c r="F355" s="10"/>
      <c r="G355" s="11"/>
      <c r="H355" s="11"/>
      <c r="I355" s="11"/>
      <c r="J355" s="12" t="str">
        <f>IF(B355="","",MAX(I355,_xlfn.MAXIFS(التمديدات!$C$2:$C$301,التمديدات!$A$2:$A$301,B355)))</f>
        <v/>
      </c>
      <c r="K355" s="7" t="str">
        <f t="shared" si="17"/>
        <v/>
      </c>
      <c r="L355" s="26"/>
      <c r="M355" s="27"/>
      <c r="N355" s="10"/>
      <c r="O355" s="10"/>
      <c r="P355" s="10"/>
      <c r="Q355" s="10"/>
      <c r="R355" s="7" t="str">
        <f ca="1">IF(B355="","",IF(Q355&lt;&gt;"",Q355,IF(H355&gt;TODAY(),"لم يبدأ بعد",IF(J355&lt;TODAY(),"منتهٍ",IF(J355-TODAY()&lt;='القوائم والإعدادات'!$E$2,"قريب الانتهاء","ساري")))))</f>
        <v/>
      </c>
      <c r="S355" s="7" t="str">
        <f t="shared" ca="1" si="18"/>
        <v/>
      </c>
      <c r="T355" s="7" t="str">
        <f ca="1">IF(OR(R355="ساري",R355="قريب الانتهاء"),IF(S355&lt;='القوائم والإعدادات'!$E$4,"عاجل",IF(S355&lt;='القوائم والإعدادات'!$E$3,"خلال 60 يوم",IF(S355&lt;='القوائم والإعدادات'!$E$2,"خلال 90 يوم",""))),"")</f>
        <v/>
      </c>
      <c r="U355" s="7" t="str">
        <f>IF(B355="","",COUNTIF(التمديدات!$A$2:$A$301,B355))</f>
        <v/>
      </c>
      <c r="V355" s="10"/>
      <c r="W355" s="10"/>
      <c r="X355" s="7" t="str">
        <f t="shared" si="19"/>
        <v/>
      </c>
    </row>
    <row r="356" spans="1:24">
      <c r="A356" s="7">
        <v>355</v>
      </c>
      <c r="B356" s="10"/>
      <c r="C356" s="10"/>
      <c r="D356" s="10"/>
      <c r="E356" s="10"/>
      <c r="F356" s="10"/>
      <c r="G356" s="11"/>
      <c r="H356" s="11"/>
      <c r="I356" s="11"/>
      <c r="J356" s="12" t="str">
        <f>IF(B356="","",MAX(I356,_xlfn.MAXIFS(التمديدات!$C$2:$C$301,التمديدات!$A$2:$A$301,B356)))</f>
        <v/>
      </c>
      <c r="K356" s="7" t="str">
        <f t="shared" si="17"/>
        <v/>
      </c>
      <c r="L356" s="26"/>
      <c r="M356" s="27"/>
      <c r="N356" s="10"/>
      <c r="O356" s="10"/>
      <c r="P356" s="10"/>
      <c r="Q356" s="10"/>
      <c r="R356" s="7" t="str">
        <f ca="1">IF(B356="","",IF(Q356&lt;&gt;"",Q356,IF(H356&gt;TODAY(),"لم يبدأ بعد",IF(J356&lt;TODAY(),"منتهٍ",IF(J356-TODAY()&lt;='القوائم والإعدادات'!$E$2,"قريب الانتهاء","ساري")))))</f>
        <v/>
      </c>
      <c r="S356" s="7" t="str">
        <f t="shared" ca="1" si="18"/>
        <v/>
      </c>
      <c r="T356" s="7" t="str">
        <f ca="1">IF(OR(R356="ساري",R356="قريب الانتهاء"),IF(S356&lt;='القوائم والإعدادات'!$E$4,"عاجل",IF(S356&lt;='القوائم والإعدادات'!$E$3,"خلال 60 يوم",IF(S356&lt;='القوائم والإعدادات'!$E$2,"خلال 90 يوم",""))),"")</f>
        <v/>
      </c>
      <c r="U356" s="7" t="str">
        <f>IF(B356="","",COUNTIF(التمديدات!$A$2:$A$301,B356))</f>
        <v/>
      </c>
      <c r="V356" s="10"/>
      <c r="W356" s="10"/>
      <c r="X356" s="7" t="str">
        <f t="shared" si="19"/>
        <v/>
      </c>
    </row>
    <row r="357" spans="1:24">
      <c r="A357" s="7">
        <v>356</v>
      </c>
      <c r="B357" s="10"/>
      <c r="C357" s="10"/>
      <c r="D357" s="10"/>
      <c r="E357" s="10"/>
      <c r="F357" s="10"/>
      <c r="G357" s="11"/>
      <c r="H357" s="11"/>
      <c r="I357" s="11"/>
      <c r="J357" s="12" t="str">
        <f>IF(B357="","",MAX(I357,_xlfn.MAXIFS(التمديدات!$C$2:$C$301,التمديدات!$A$2:$A$301,B357)))</f>
        <v/>
      </c>
      <c r="K357" s="7" t="str">
        <f t="shared" si="17"/>
        <v/>
      </c>
      <c r="L357" s="26"/>
      <c r="M357" s="27"/>
      <c r="N357" s="10"/>
      <c r="O357" s="10"/>
      <c r="P357" s="10"/>
      <c r="Q357" s="10"/>
      <c r="R357" s="7" t="str">
        <f ca="1">IF(B357="","",IF(Q357&lt;&gt;"",Q357,IF(H357&gt;TODAY(),"لم يبدأ بعد",IF(J357&lt;TODAY(),"منتهٍ",IF(J357-TODAY()&lt;='القوائم والإعدادات'!$E$2,"قريب الانتهاء","ساري")))))</f>
        <v/>
      </c>
      <c r="S357" s="7" t="str">
        <f t="shared" ca="1" si="18"/>
        <v/>
      </c>
      <c r="T357" s="7" t="str">
        <f ca="1">IF(OR(R357="ساري",R357="قريب الانتهاء"),IF(S357&lt;='القوائم والإعدادات'!$E$4,"عاجل",IF(S357&lt;='القوائم والإعدادات'!$E$3,"خلال 60 يوم",IF(S357&lt;='القوائم والإعدادات'!$E$2,"خلال 90 يوم",""))),"")</f>
        <v/>
      </c>
      <c r="U357" s="7" t="str">
        <f>IF(B357="","",COUNTIF(التمديدات!$A$2:$A$301,B357))</f>
        <v/>
      </c>
      <c r="V357" s="10"/>
      <c r="W357" s="10"/>
      <c r="X357" s="7" t="str">
        <f t="shared" si="19"/>
        <v/>
      </c>
    </row>
    <row r="358" spans="1:24">
      <c r="A358" s="7">
        <v>357</v>
      </c>
      <c r="B358" s="10"/>
      <c r="C358" s="10"/>
      <c r="D358" s="10"/>
      <c r="E358" s="10"/>
      <c r="F358" s="10"/>
      <c r="G358" s="11"/>
      <c r="H358" s="11"/>
      <c r="I358" s="11"/>
      <c r="J358" s="12" t="str">
        <f>IF(B358="","",MAX(I358,_xlfn.MAXIFS(التمديدات!$C$2:$C$301,التمديدات!$A$2:$A$301,B358)))</f>
        <v/>
      </c>
      <c r="K358" s="7" t="str">
        <f t="shared" si="17"/>
        <v/>
      </c>
      <c r="L358" s="26"/>
      <c r="M358" s="27"/>
      <c r="N358" s="10"/>
      <c r="O358" s="10"/>
      <c r="P358" s="10"/>
      <c r="Q358" s="10"/>
      <c r="R358" s="7" t="str">
        <f ca="1">IF(B358="","",IF(Q358&lt;&gt;"",Q358,IF(H358&gt;TODAY(),"لم يبدأ بعد",IF(J358&lt;TODAY(),"منتهٍ",IF(J358-TODAY()&lt;='القوائم والإعدادات'!$E$2,"قريب الانتهاء","ساري")))))</f>
        <v/>
      </c>
      <c r="S358" s="7" t="str">
        <f t="shared" ca="1" si="18"/>
        <v/>
      </c>
      <c r="T358" s="7" t="str">
        <f ca="1">IF(OR(R358="ساري",R358="قريب الانتهاء"),IF(S358&lt;='القوائم والإعدادات'!$E$4,"عاجل",IF(S358&lt;='القوائم والإعدادات'!$E$3,"خلال 60 يوم",IF(S358&lt;='القوائم والإعدادات'!$E$2,"خلال 90 يوم",""))),"")</f>
        <v/>
      </c>
      <c r="U358" s="7" t="str">
        <f>IF(B358="","",COUNTIF(التمديدات!$A$2:$A$301,B358))</f>
        <v/>
      </c>
      <c r="V358" s="10"/>
      <c r="W358" s="10"/>
      <c r="X358" s="7" t="str">
        <f t="shared" si="19"/>
        <v/>
      </c>
    </row>
    <row r="359" spans="1:24">
      <c r="A359" s="7">
        <v>358</v>
      </c>
      <c r="B359" s="10"/>
      <c r="C359" s="10"/>
      <c r="D359" s="10"/>
      <c r="E359" s="10"/>
      <c r="F359" s="10"/>
      <c r="G359" s="11"/>
      <c r="H359" s="11"/>
      <c r="I359" s="11"/>
      <c r="J359" s="12" t="str">
        <f>IF(B359="","",MAX(I359,_xlfn.MAXIFS(التمديدات!$C$2:$C$301,التمديدات!$A$2:$A$301,B359)))</f>
        <v/>
      </c>
      <c r="K359" s="7" t="str">
        <f t="shared" si="17"/>
        <v/>
      </c>
      <c r="L359" s="26"/>
      <c r="M359" s="27"/>
      <c r="N359" s="10"/>
      <c r="O359" s="10"/>
      <c r="P359" s="10"/>
      <c r="Q359" s="10"/>
      <c r="R359" s="7" t="str">
        <f ca="1">IF(B359="","",IF(Q359&lt;&gt;"",Q359,IF(H359&gt;TODAY(),"لم يبدأ بعد",IF(J359&lt;TODAY(),"منتهٍ",IF(J359-TODAY()&lt;='القوائم والإعدادات'!$E$2,"قريب الانتهاء","ساري")))))</f>
        <v/>
      </c>
      <c r="S359" s="7" t="str">
        <f t="shared" ca="1" si="18"/>
        <v/>
      </c>
      <c r="T359" s="7" t="str">
        <f ca="1">IF(OR(R359="ساري",R359="قريب الانتهاء"),IF(S359&lt;='القوائم والإعدادات'!$E$4,"عاجل",IF(S359&lt;='القوائم والإعدادات'!$E$3,"خلال 60 يوم",IF(S359&lt;='القوائم والإعدادات'!$E$2,"خلال 90 يوم",""))),"")</f>
        <v/>
      </c>
      <c r="U359" s="7" t="str">
        <f>IF(B359="","",COUNTIF(التمديدات!$A$2:$A$301,B359))</f>
        <v/>
      </c>
      <c r="V359" s="10"/>
      <c r="W359" s="10"/>
      <c r="X359" s="7" t="str">
        <f t="shared" si="19"/>
        <v/>
      </c>
    </row>
    <row r="360" spans="1:24">
      <c r="A360" s="7">
        <v>359</v>
      </c>
      <c r="B360" s="10"/>
      <c r="C360" s="10"/>
      <c r="D360" s="10"/>
      <c r="E360" s="10"/>
      <c r="F360" s="10"/>
      <c r="G360" s="11"/>
      <c r="H360" s="11"/>
      <c r="I360" s="11"/>
      <c r="J360" s="12" t="str">
        <f>IF(B360="","",MAX(I360,_xlfn.MAXIFS(التمديدات!$C$2:$C$301,التمديدات!$A$2:$A$301,B360)))</f>
        <v/>
      </c>
      <c r="K360" s="7" t="str">
        <f t="shared" si="17"/>
        <v/>
      </c>
      <c r="L360" s="26"/>
      <c r="M360" s="27"/>
      <c r="N360" s="10"/>
      <c r="O360" s="10"/>
      <c r="P360" s="10"/>
      <c r="Q360" s="10"/>
      <c r="R360" s="7" t="str">
        <f ca="1">IF(B360="","",IF(Q360&lt;&gt;"",Q360,IF(H360&gt;TODAY(),"لم يبدأ بعد",IF(J360&lt;TODAY(),"منتهٍ",IF(J360-TODAY()&lt;='القوائم والإعدادات'!$E$2,"قريب الانتهاء","ساري")))))</f>
        <v/>
      </c>
      <c r="S360" s="7" t="str">
        <f t="shared" ca="1" si="18"/>
        <v/>
      </c>
      <c r="T360" s="7" t="str">
        <f ca="1">IF(OR(R360="ساري",R360="قريب الانتهاء"),IF(S360&lt;='القوائم والإعدادات'!$E$4,"عاجل",IF(S360&lt;='القوائم والإعدادات'!$E$3,"خلال 60 يوم",IF(S360&lt;='القوائم والإعدادات'!$E$2,"خلال 90 يوم",""))),"")</f>
        <v/>
      </c>
      <c r="U360" s="7" t="str">
        <f>IF(B360="","",COUNTIF(التمديدات!$A$2:$A$301,B360))</f>
        <v/>
      </c>
      <c r="V360" s="10"/>
      <c r="W360" s="10"/>
      <c r="X360" s="7" t="str">
        <f t="shared" si="19"/>
        <v/>
      </c>
    </row>
    <row r="361" spans="1:24">
      <c r="A361" s="7">
        <v>360</v>
      </c>
      <c r="B361" s="10"/>
      <c r="C361" s="10"/>
      <c r="D361" s="10"/>
      <c r="E361" s="10"/>
      <c r="F361" s="10"/>
      <c r="G361" s="11"/>
      <c r="H361" s="11"/>
      <c r="I361" s="11"/>
      <c r="J361" s="12" t="str">
        <f>IF(B361="","",MAX(I361,_xlfn.MAXIFS(التمديدات!$C$2:$C$301,التمديدات!$A$2:$A$301,B361)))</f>
        <v/>
      </c>
      <c r="K361" s="7" t="str">
        <f t="shared" si="17"/>
        <v/>
      </c>
      <c r="L361" s="26"/>
      <c r="M361" s="27"/>
      <c r="N361" s="10"/>
      <c r="O361" s="10"/>
      <c r="P361" s="10"/>
      <c r="Q361" s="10"/>
      <c r="R361" s="7" t="str">
        <f ca="1">IF(B361="","",IF(Q361&lt;&gt;"",Q361,IF(H361&gt;TODAY(),"لم يبدأ بعد",IF(J361&lt;TODAY(),"منتهٍ",IF(J361-TODAY()&lt;='القوائم والإعدادات'!$E$2,"قريب الانتهاء","ساري")))))</f>
        <v/>
      </c>
      <c r="S361" s="7" t="str">
        <f t="shared" ca="1" si="18"/>
        <v/>
      </c>
      <c r="T361" s="7" t="str">
        <f ca="1">IF(OR(R361="ساري",R361="قريب الانتهاء"),IF(S361&lt;='القوائم والإعدادات'!$E$4,"عاجل",IF(S361&lt;='القوائم والإعدادات'!$E$3,"خلال 60 يوم",IF(S361&lt;='القوائم والإعدادات'!$E$2,"خلال 90 يوم",""))),"")</f>
        <v/>
      </c>
      <c r="U361" s="7" t="str">
        <f>IF(B361="","",COUNTIF(التمديدات!$A$2:$A$301,B361))</f>
        <v/>
      </c>
      <c r="V361" s="10"/>
      <c r="W361" s="10"/>
      <c r="X361" s="7" t="str">
        <f t="shared" si="19"/>
        <v/>
      </c>
    </row>
    <row r="362" spans="1:24">
      <c r="A362" s="7">
        <v>361</v>
      </c>
      <c r="B362" s="10"/>
      <c r="C362" s="10"/>
      <c r="D362" s="10"/>
      <c r="E362" s="10"/>
      <c r="F362" s="10"/>
      <c r="G362" s="11"/>
      <c r="H362" s="11"/>
      <c r="I362" s="11"/>
      <c r="J362" s="12" t="str">
        <f>IF(B362="","",MAX(I362,_xlfn.MAXIFS(التمديدات!$C$2:$C$301,التمديدات!$A$2:$A$301,B362)))</f>
        <v/>
      </c>
      <c r="K362" s="7" t="str">
        <f t="shared" si="17"/>
        <v/>
      </c>
      <c r="L362" s="26"/>
      <c r="M362" s="27"/>
      <c r="N362" s="10"/>
      <c r="O362" s="10"/>
      <c r="P362" s="10"/>
      <c r="Q362" s="10"/>
      <c r="R362" s="7" t="str">
        <f ca="1">IF(B362="","",IF(Q362&lt;&gt;"",Q362,IF(H362&gt;TODAY(),"لم يبدأ بعد",IF(J362&lt;TODAY(),"منتهٍ",IF(J362-TODAY()&lt;='القوائم والإعدادات'!$E$2,"قريب الانتهاء","ساري")))))</f>
        <v/>
      </c>
      <c r="S362" s="7" t="str">
        <f t="shared" ca="1" si="18"/>
        <v/>
      </c>
      <c r="T362" s="7" t="str">
        <f ca="1">IF(OR(R362="ساري",R362="قريب الانتهاء"),IF(S362&lt;='القوائم والإعدادات'!$E$4,"عاجل",IF(S362&lt;='القوائم والإعدادات'!$E$3,"خلال 60 يوم",IF(S362&lt;='القوائم والإعدادات'!$E$2,"خلال 90 يوم",""))),"")</f>
        <v/>
      </c>
      <c r="U362" s="7" t="str">
        <f>IF(B362="","",COUNTIF(التمديدات!$A$2:$A$301,B362))</f>
        <v/>
      </c>
      <c r="V362" s="10"/>
      <c r="W362" s="10"/>
      <c r="X362" s="7" t="str">
        <f t="shared" si="19"/>
        <v/>
      </c>
    </row>
    <row r="363" spans="1:24">
      <c r="A363" s="7">
        <v>362</v>
      </c>
      <c r="B363" s="10"/>
      <c r="C363" s="10"/>
      <c r="D363" s="10"/>
      <c r="E363" s="10"/>
      <c r="F363" s="10"/>
      <c r="G363" s="11"/>
      <c r="H363" s="11"/>
      <c r="I363" s="11"/>
      <c r="J363" s="12" t="str">
        <f>IF(B363="","",MAX(I363,_xlfn.MAXIFS(التمديدات!$C$2:$C$301,التمديدات!$A$2:$A$301,B363)))</f>
        <v/>
      </c>
      <c r="K363" s="7" t="str">
        <f t="shared" si="17"/>
        <v/>
      </c>
      <c r="L363" s="26"/>
      <c r="M363" s="27"/>
      <c r="N363" s="10"/>
      <c r="O363" s="10"/>
      <c r="P363" s="10"/>
      <c r="Q363" s="10"/>
      <c r="R363" s="7" t="str">
        <f ca="1">IF(B363="","",IF(Q363&lt;&gt;"",Q363,IF(H363&gt;TODAY(),"لم يبدأ بعد",IF(J363&lt;TODAY(),"منتهٍ",IF(J363-TODAY()&lt;='القوائم والإعدادات'!$E$2,"قريب الانتهاء","ساري")))))</f>
        <v/>
      </c>
      <c r="S363" s="7" t="str">
        <f t="shared" ca="1" si="18"/>
        <v/>
      </c>
      <c r="T363" s="7" t="str">
        <f ca="1">IF(OR(R363="ساري",R363="قريب الانتهاء"),IF(S363&lt;='القوائم والإعدادات'!$E$4,"عاجل",IF(S363&lt;='القوائم والإعدادات'!$E$3,"خلال 60 يوم",IF(S363&lt;='القوائم والإعدادات'!$E$2,"خلال 90 يوم",""))),"")</f>
        <v/>
      </c>
      <c r="U363" s="7" t="str">
        <f>IF(B363="","",COUNTIF(التمديدات!$A$2:$A$301,B363))</f>
        <v/>
      </c>
      <c r="V363" s="10"/>
      <c r="W363" s="10"/>
      <c r="X363" s="7" t="str">
        <f t="shared" si="19"/>
        <v/>
      </c>
    </row>
    <row r="364" spans="1:24">
      <c r="A364" s="7">
        <v>363</v>
      </c>
      <c r="B364" s="10"/>
      <c r="C364" s="10"/>
      <c r="D364" s="10"/>
      <c r="E364" s="10"/>
      <c r="F364" s="10"/>
      <c r="G364" s="11"/>
      <c r="H364" s="11"/>
      <c r="I364" s="11"/>
      <c r="J364" s="12" t="str">
        <f>IF(B364="","",MAX(I364,_xlfn.MAXIFS(التمديدات!$C$2:$C$301,التمديدات!$A$2:$A$301,B364)))</f>
        <v/>
      </c>
      <c r="K364" s="7" t="str">
        <f t="shared" si="17"/>
        <v/>
      </c>
      <c r="L364" s="26"/>
      <c r="M364" s="27"/>
      <c r="N364" s="10"/>
      <c r="O364" s="10"/>
      <c r="P364" s="10"/>
      <c r="Q364" s="10"/>
      <c r="R364" s="7" t="str">
        <f ca="1">IF(B364="","",IF(Q364&lt;&gt;"",Q364,IF(H364&gt;TODAY(),"لم يبدأ بعد",IF(J364&lt;TODAY(),"منتهٍ",IF(J364-TODAY()&lt;='القوائم والإعدادات'!$E$2,"قريب الانتهاء","ساري")))))</f>
        <v/>
      </c>
      <c r="S364" s="7" t="str">
        <f t="shared" ca="1" si="18"/>
        <v/>
      </c>
      <c r="T364" s="7" t="str">
        <f ca="1">IF(OR(R364="ساري",R364="قريب الانتهاء"),IF(S364&lt;='القوائم والإعدادات'!$E$4,"عاجل",IF(S364&lt;='القوائم والإعدادات'!$E$3,"خلال 60 يوم",IF(S364&lt;='القوائم والإعدادات'!$E$2,"خلال 90 يوم",""))),"")</f>
        <v/>
      </c>
      <c r="U364" s="7" t="str">
        <f>IF(B364="","",COUNTIF(التمديدات!$A$2:$A$301,B364))</f>
        <v/>
      </c>
      <c r="V364" s="10"/>
      <c r="W364" s="10"/>
      <c r="X364" s="7" t="str">
        <f t="shared" si="19"/>
        <v/>
      </c>
    </row>
    <row r="365" spans="1:24">
      <c r="A365" s="7">
        <v>364</v>
      </c>
      <c r="B365" s="10"/>
      <c r="C365" s="10"/>
      <c r="D365" s="10"/>
      <c r="E365" s="10"/>
      <c r="F365" s="10"/>
      <c r="G365" s="11"/>
      <c r="H365" s="11"/>
      <c r="I365" s="11"/>
      <c r="J365" s="12" t="str">
        <f>IF(B365="","",MAX(I365,_xlfn.MAXIFS(التمديدات!$C$2:$C$301,التمديدات!$A$2:$A$301,B365)))</f>
        <v/>
      </c>
      <c r="K365" s="7" t="str">
        <f t="shared" si="17"/>
        <v/>
      </c>
      <c r="L365" s="26"/>
      <c r="M365" s="27"/>
      <c r="N365" s="10"/>
      <c r="O365" s="10"/>
      <c r="P365" s="10"/>
      <c r="Q365" s="10"/>
      <c r="R365" s="7" t="str">
        <f ca="1">IF(B365="","",IF(Q365&lt;&gt;"",Q365,IF(H365&gt;TODAY(),"لم يبدأ بعد",IF(J365&lt;TODAY(),"منتهٍ",IF(J365-TODAY()&lt;='القوائم والإعدادات'!$E$2,"قريب الانتهاء","ساري")))))</f>
        <v/>
      </c>
      <c r="S365" s="7" t="str">
        <f t="shared" ca="1" si="18"/>
        <v/>
      </c>
      <c r="T365" s="7" t="str">
        <f ca="1">IF(OR(R365="ساري",R365="قريب الانتهاء"),IF(S365&lt;='القوائم والإعدادات'!$E$4,"عاجل",IF(S365&lt;='القوائم والإعدادات'!$E$3,"خلال 60 يوم",IF(S365&lt;='القوائم والإعدادات'!$E$2,"خلال 90 يوم",""))),"")</f>
        <v/>
      </c>
      <c r="U365" s="7" t="str">
        <f>IF(B365="","",COUNTIF(التمديدات!$A$2:$A$301,B365))</f>
        <v/>
      </c>
      <c r="V365" s="10"/>
      <c r="W365" s="10"/>
      <c r="X365" s="7" t="str">
        <f t="shared" si="19"/>
        <v/>
      </c>
    </row>
    <row r="366" spans="1:24">
      <c r="A366" s="7">
        <v>365</v>
      </c>
      <c r="B366" s="10"/>
      <c r="C366" s="10"/>
      <c r="D366" s="10"/>
      <c r="E366" s="10"/>
      <c r="F366" s="10"/>
      <c r="G366" s="11"/>
      <c r="H366" s="11"/>
      <c r="I366" s="11"/>
      <c r="J366" s="12" t="str">
        <f>IF(B366="","",MAX(I366,_xlfn.MAXIFS(التمديدات!$C$2:$C$301,التمديدات!$A$2:$A$301,B366)))</f>
        <v/>
      </c>
      <c r="K366" s="7" t="str">
        <f t="shared" si="17"/>
        <v/>
      </c>
      <c r="L366" s="26"/>
      <c r="M366" s="27"/>
      <c r="N366" s="10"/>
      <c r="O366" s="10"/>
      <c r="P366" s="10"/>
      <c r="Q366" s="10"/>
      <c r="R366" s="7" t="str">
        <f ca="1">IF(B366="","",IF(Q366&lt;&gt;"",Q366,IF(H366&gt;TODAY(),"لم يبدأ بعد",IF(J366&lt;TODAY(),"منتهٍ",IF(J366-TODAY()&lt;='القوائم والإعدادات'!$E$2,"قريب الانتهاء","ساري")))))</f>
        <v/>
      </c>
      <c r="S366" s="7" t="str">
        <f t="shared" ca="1" si="18"/>
        <v/>
      </c>
      <c r="T366" s="7" t="str">
        <f ca="1">IF(OR(R366="ساري",R366="قريب الانتهاء"),IF(S366&lt;='القوائم والإعدادات'!$E$4,"عاجل",IF(S366&lt;='القوائم والإعدادات'!$E$3,"خلال 60 يوم",IF(S366&lt;='القوائم والإعدادات'!$E$2,"خلال 90 يوم",""))),"")</f>
        <v/>
      </c>
      <c r="U366" s="7" t="str">
        <f>IF(B366="","",COUNTIF(التمديدات!$A$2:$A$301,B366))</f>
        <v/>
      </c>
      <c r="V366" s="10"/>
      <c r="W366" s="10"/>
      <c r="X366" s="7" t="str">
        <f t="shared" si="19"/>
        <v/>
      </c>
    </row>
    <row r="367" spans="1:24">
      <c r="A367" s="7">
        <v>366</v>
      </c>
      <c r="B367" s="10"/>
      <c r="C367" s="10"/>
      <c r="D367" s="10"/>
      <c r="E367" s="10"/>
      <c r="F367" s="10"/>
      <c r="G367" s="11"/>
      <c r="H367" s="11"/>
      <c r="I367" s="11"/>
      <c r="J367" s="12" t="str">
        <f>IF(B367="","",MAX(I367,_xlfn.MAXIFS(التمديدات!$C$2:$C$301,التمديدات!$A$2:$A$301,B367)))</f>
        <v/>
      </c>
      <c r="K367" s="7" t="str">
        <f t="shared" si="17"/>
        <v/>
      </c>
      <c r="L367" s="26"/>
      <c r="M367" s="27"/>
      <c r="N367" s="10"/>
      <c r="O367" s="10"/>
      <c r="P367" s="10"/>
      <c r="Q367" s="10"/>
      <c r="R367" s="7" t="str">
        <f ca="1">IF(B367="","",IF(Q367&lt;&gt;"",Q367,IF(H367&gt;TODAY(),"لم يبدأ بعد",IF(J367&lt;TODAY(),"منتهٍ",IF(J367-TODAY()&lt;='القوائم والإعدادات'!$E$2,"قريب الانتهاء","ساري")))))</f>
        <v/>
      </c>
      <c r="S367" s="7" t="str">
        <f t="shared" ca="1" si="18"/>
        <v/>
      </c>
      <c r="T367" s="7" t="str">
        <f ca="1">IF(OR(R367="ساري",R367="قريب الانتهاء"),IF(S367&lt;='القوائم والإعدادات'!$E$4,"عاجل",IF(S367&lt;='القوائم والإعدادات'!$E$3,"خلال 60 يوم",IF(S367&lt;='القوائم والإعدادات'!$E$2,"خلال 90 يوم",""))),"")</f>
        <v/>
      </c>
      <c r="U367" s="7" t="str">
        <f>IF(B367="","",COUNTIF(التمديدات!$A$2:$A$301,B367))</f>
        <v/>
      </c>
      <c r="V367" s="10"/>
      <c r="W367" s="10"/>
      <c r="X367" s="7" t="str">
        <f t="shared" si="19"/>
        <v/>
      </c>
    </row>
    <row r="368" spans="1:24">
      <c r="A368" s="7">
        <v>367</v>
      </c>
      <c r="B368" s="10"/>
      <c r="C368" s="10"/>
      <c r="D368" s="10"/>
      <c r="E368" s="10"/>
      <c r="F368" s="10"/>
      <c r="G368" s="11"/>
      <c r="H368" s="11"/>
      <c r="I368" s="11"/>
      <c r="J368" s="12" t="str">
        <f>IF(B368="","",MAX(I368,_xlfn.MAXIFS(التمديدات!$C$2:$C$301,التمديدات!$A$2:$A$301,B368)))</f>
        <v/>
      </c>
      <c r="K368" s="7" t="str">
        <f t="shared" si="17"/>
        <v/>
      </c>
      <c r="L368" s="26"/>
      <c r="M368" s="27"/>
      <c r="N368" s="10"/>
      <c r="O368" s="10"/>
      <c r="P368" s="10"/>
      <c r="Q368" s="10"/>
      <c r="R368" s="7" t="str">
        <f ca="1">IF(B368="","",IF(Q368&lt;&gt;"",Q368,IF(H368&gt;TODAY(),"لم يبدأ بعد",IF(J368&lt;TODAY(),"منتهٍ",IF(J368-TODAY()&lt;='القوائم والإعدادات'!$E$2,"قريب الانتهاء","ساري")))))</f>
        <v/>
      </c>
      <c r="S368" s="7" t="str">
        <f t="shared" ca="1" si="18"/>
        <v/>
      </c>
      <c r="T368" s="7" t="str">
        <f ca="1">IF(OR(R368="ساري",R368="قريب الانتهاء"),IF(S368&lt;='القوائم والإعدادات'!$E$4,"عاجل",IF(S368&lt;='القوائم والإعدادات'!$E$3,"خلال 60 يوم",IF(S368&lt;='القوائم والإعدادات'!$E$2,"خلال 90 يوم",""))),"")</f>
        <v/>
      </c>
      <c r="U368" s="7" t="str">
        <f>IF(B368="","",COUNTIF(التمديدات!$A$2:$A$301,B368))</f>
        <v/>
      </c>
      <c r="V368" s="10"/>
      <c r="W368" s="10"/>
      <c r="X368" s="7" t="str">
        <f t="shared" si="19"/>
        <v/>
      </c>
    </row>
    <row r="369" spans="1:24">
      <c r="A369" s="7">
        <v>368</v>
      </c>
      <c r="B369" s="10"/>
      <c r="C369" s="10"/>
      <c r="D369" s="10"/>
      <c r="E369" s="10"/>
      <c r="F369" s="10"/>
      <c r="G369" s="11"/>
      <c r="H369" s="11"/>
      <c r="I369" s="11"/>
      <c r="J369" s="12" t="str">
        <f>IF(B369="","",MAX(I369,_xlfn.MAXIFS(التمديدات!$C$2:$C$301,التمديدات!$A$2:$A$301,B369)))</f>
        <v/>
      </c>
      <c r="K369" s="7" t="str">
        <f t="shared" si="17"/>
        <v/>
      </c>
      <c r="L369" s="26"/>
      <c r="M369" s="27"/>
      <c r="N369" s="10"/>
      <c r="O369" s="10"/>
      <c r="P369" s="10"/>
      <c r="Q369" s="10"/>
      <c r="R369" s="7" t="str">
        <f ca="1">IF(B369="","",IF(Q369&lt;&gt;"",Q369,IF(H369&gt;TODAY(),"لم يبدأ بعد",IF(J369&lt;TODAY(),"منتهٍ",IF(J369-TODAY()&lt;='القوائم والإعدادات'!$E$2,"قريب الانتهاء","ساري")))))</f>
        <v/>
      </c>
      <c r="S369" s="7" t="str">
        <f t="shared" ca="1" si="18"/>
        <v/>
      </c>
      <c r="T369" s="7" t="str">
        <f ca="1">IF(OR(R369="ساري",R369="قريب الانتهاء"),IF(S369&lt;='القوائم والإعدادات'!$E$4,"عاجل",IF(S369&lt;='القوائم والإعدادات'!$E$3,"خلال 60 يوم",IF(S369&lt;='القوائم والإعدادات'!$E$2,"خلال 90 يوم",""))),"")</f>
        <v/>
      </c>
      <c r="U369" s="7" t="str">
        <f>IF(B369="","",COUNTIF(التمديدات!$A$2:$A$301,B369))</f>
        <v/>
      </c>
      <c r="V369" s="10"/>
      <c r="W369" s="10"/>
      <c r="X369" s="7" t="str">
        <f t="shared" si="19"/>
        <v/>
      </c>
    </row>
    <row r="370" spans="1:24">
      <c r="A370" s="7">
        <v>369</v>
      </c>
      <c r="B370" s="10"/>
      <c r="C370" s="10"/>
      <c r="D370" s="10"/>
      <c r="E370" s="10"/>
      <c r="F370" s="10"/>
      <c r="G370" s="11"/>
      <c r="H370" s="11"/>
      <c r="I370" s="11"/>
      <c r="J370" s="12" t="str">
        <f>IF(B370="","",MAX(I370,_xlfn.MAXIFS(التمديدات!$C$2:$C$301,التمديدات!$A$2:$A$301,B370)))</f>
        <v/>
      </c>
      <c r="K370" s="7" t="str">
        <f t="shared" si="17"/>
        <v/>
      </c>
      <c r="L370" s="26"/>
      <c r="M370" s="27"/>
      <c r="N370" s="10"/>
      <c r="O370" s="10"/>
      <c r="P370" s="10"/>
      <c r="Q370" s="10"/>
      <c r="R370" s="7" t="str">
        <f ca="1">IF(B370="","",IF(Q370&lt;&gt;"",Q370,IF(H370&gt;TODAY(),"لم يبدأ بعد",IF(J370&lt;TODAY(),"منتهٍ",IF(J370-TODAY()&lt;='القوائم والإعدادات'!$E$2,"قريب الانتهاء","ساري")))))</f>
        <v/>
      </c>
      <c r="S370" s="7" t="str">
        <f t="shared" ca="1" si="18"/>
        <v/>
      </c>
      <c r="T370" s="7" t="str">
        <f ca="1">IF(OR(R370="ساري",R370="قريب الانتهاء"),IF(S370&lt;='القوائم والإعدادات'!$E$4,"عاجل",IF(S370&lt;='القوائم والإعدادات'!$E$3,"خلال 60 يوم",IF(S370&lt;='القوائم والإعدادات'!$E$2,"خلال 90 يوم",""))),"")</f>
        <v/>
      </c>
      <c r="U370" s="7" t="str">
        <f>IF(B370="","",COUNTIF(التمديدات!$A$2:$A$301,B370))</f>
        <v/>
      </c>
      <c r="V370" s="10"/>
      <c r="W370" s="10"/>
      <c r="X370" s="7" t="str">
        <f t="shared" si="19"/>
        <v/>
      </c>
    </row>
    <row r="371" spans="1:24">
      <c r="A371" s="7">
        <v>370</v>
      </c>
      <c r="B371" s="10"/>
      <c r="C371" s="10"/>
      <c r="D371" s="10"/>
      <c r="E371" s="10"/>
      <c r="F371" s="10"/>
      <c r="G371" s="11"/>
      <c r="H371" s="11"/>
      <c r="I371" s="11"/>
      <c r="J371" s="12" t="str">
        <f>IF(B371="","",MAX(I371,_xlfn.MAXIFS(التمديدات!$C$2:$C$301,التمديدات!$A$2:$A$301,B371)))</f>
        <v/>
      </c>
      <c r="K371" s="7" t="str">
        <f t="shared" si="17"/>
        <v/>
      </c>
      <c r="L371" s="26"/>
      <c r="M371" s="27"/>
      <c r="N371" s="10"/>
      <c r="O371" s="10"/>
      <c r="P371" s="10"/>
      <c r="Q371" s="10"/>
      <c r="R371" s="7" t="str">
        <f ca="1">IF(B371="","",IF(Q371&lt;&gt;"",Q371,IF(H371&gt;TODAY(),"لم يبدأ بعد",IF(J371&lt;TODAY(),"منتهٍ",IF(J371-TODAY()&lt;='القوائم والإعدادات'!$E$2,"قريب الانتهاء","ساري")))))</f>
        <v/>
      </c>
      <c r="S371" s="7" t="str">
        <f t="shared" ca="1" si="18"/>
        <v/>
      </c>
      <c r="T371" s="7" t="str">
        <f ca="1">IF(OR(R371="ساري",R371="قريب الانتهاء"),IF(S371&lt;='القوائم والإعدادات'!$E$4,"عاجل",IF(S371&lt;='القوائم والإعدادات'!$E$3,"خلال 60 يوم",IF(S371&lt;='القوائم والإعدادات'!$E$2,"خلال 90 يوم",""))),"")</f>
        <v/>
      </c>
      <c r="U371" s="7" t="str">
        <f>IF(B371="","",COUNTIF(التمديدات!$A$2:$A$301,B371))</f>
        <v/>
      </c>
      <c r="V371" s="10"/>
      <c r="W371" s="10"/>
      <c r="X371" s="7" t="str">
        <f t="shared" si="19"/>
        <v/>
      </c>
    </row>
    <row r="372" spans="1:24">
      <c r="A372" s="7">
        <v>371</v>
      </c>
      <c r="B372" s="10"/>
      <c r="C372" s="10"/>
      <c r="D372" s="10"/>
      <c r="E372" s="10"/>
      <c r="F372" s="10"/>
      <c r="G372" s="11"/>
      <c r="H372" s="11"/>
      <c r="I372" s="11"/>
      <c r="J372" s="12" t="str">
        <f>IF(B372="","",MAX(I372,_xlfn.MAXIFS(التمديدات!$C$2:$C$301,التمديدات!$A$2:$A$301,B372)))</f>
        <v/>
      </c>
      <c r="K372" s="7" t="str">
        <f t="shared" si="17"/>
        <v/>
      </c>
      <c r="L372" s="26"/>
      <c r="M372" s="27"/>
      <c r="N372" s="10"/>
      <c r="O372" s="10"/>
      <c r="P372" s="10"/>
      <c r="Q372" s="10"/>
      <c r="R372" s="7" t="str">
        <f ca="1">IF(B372="","",IF(Q372&lt;&gt;"",Q372,IF(H372&gt;TODAY(),"لم يبدأ بعد",IF(J372&lt;TODAY(),"منتهٍ",IF(J372-TODAY()&lt;='القوائم والإعدادات'!$E$2,"قريب الانتهاء","ساري")))))</f>
        <v/>
      </c>
      <c r="S372" s="7" t="str">
        <f t="shared" ca="1" si="18"/>
        <v/>
      </c>
      <c r="T372" s="7" t="str">
        <f ca="1">IF(OR(R372="ساري",R372="قريب الانتهاء"),IF(S372&lt;='القوائم والإعدادات'!$E$4,"عاجل",IF(S372&lt;='القوائم والإعدادات'!$E$3,"خلال 60 يوم",IF(S372&lt;='القوائم والإعدادات'!$E$2,"خلال 90 يوم",""))),"")</f>
        <v/>
      </c>
      <c r="U372" s="7" t="str">
        <f>IF(B372="","",COUNTIF(التمديدات!$A$2:$A$301,B372))</f>
        <v/>
      </c>
      <c r="V372" s="10"/>
      <c r="W372" s="10"/>
      <c r="X372" s="7" t="str">
        <f t="shared" si="19"/>
        <v/>
      </c>
    </row>
    <row r="373" spans="1:24">
      <c r="A373" s="7">
        <v>372</v>
      </c>
      <c r="B373" s="10"/>
      <c r="C373" s="10"/>
      <c r="D373" s="10"/>
      <c r="E373" s="10"/>
      <c r="F373" s="10"/>
      <c r="G373" s="11"/>
      <c r="H373" s="11"/>
      <c r="I373" s="11"/>
      <c r="J373" s="12" t="str">
        <f>IF(B373="","",MAX(I373,_xlfn.MAXIFS(التمديدات!$C$2:$C$301,التمديدات!$A$2:$A$301,B373)))</f>
        <v/>
      </c>
      <c r="K373" s="7" t="str">
        <f t="shared" si="17"/>
        <v/>
      </c>
      <c r="L373" s="26"/>
      <c r="M373" s="27"/>
      <c r="N373" s="10"/>
      <c r="O373" s="10"/>
      <c r="P373" s="10"/>
      <c r="Q373" s="10"/>
      <c r="R373" s="7" t="str">
        <f ca="1">IF(B373="","",IF(Q373&lt;&gt;"",Q373,IF(H373&gt;TODAY(),"لم يبدأ بعد",IF(J373&lt;TODAY(),"منتهٍ",IF(J373-TODAY()&lt;='القوائم والإعدادات'!$E$2,"قريب الانتهاء","ساري")))))</f>
        <v/>
      </c>
      <c r="S373" s="7" t="str">
        <f t="shared" ca="1" si="18"/>
        <v/>
      </c>
      <c r="T373" s="7" t="str">
        <f ca="1">IF(OR(R373="ساري",R373="قريب الانتهاء"),IF(S373&lt;='القوائم والإعدادات'!$E$4,"عاجل",IF(S373&lt;='القوائم والإعدادات'!$E$3,"خلال 60 يوم",IF(S373&lt;='القوائم والإعدادات'!$E$2,"خلال 90 يوم",""))),"")</f>
        <v/>
      </c>
      <c r="U373" s="7" t="str">
        <f>IF(B373="","",COUNTIF(التمديدات!$A$2:$A$301,B373))</f>
        <v/>
      </c>
      <c r="V373" s="10"/>
      <c r="W373" s="10"/>
      <c r="X373" s="7" t="str">
        <f t="shared" si="19"/>
        <v/>
      </c>
    </row>
    <row r="374" spans="1:24">
      <c r="A374" s="7">
        <v>373</v>
      </c>
      <c r="B374" s="10"/>
      <c r="C374" s="10"/>
      <c r="D374" s="10"/>
      <c r="E374" s="10"/>
      <c r="F374" s="10"/>
      <c r="G374" s="11"/>
      <c r="H374" s="11"/>
      <c r="I374" s="11"/>
      <c r="J374" s="12" t="str">
        <f>IF(B374="","",MAX(I374,_xlfn.MAXIFS(التمديدات!$C$2:$C$301,التمديدات!$A$2:$A$301,B374)))</f>
        <v/>
      </c>
      <c r="K374" s="7" t="str">
        <f t="shared" si="17"/>
        <v/>
      </c>
      <c r="L374" s="26"/>
      <c r="M374" s="27"/>
      <c r="N374" s="10"/>
      <c r="O374" s="10"/>
      <c r="P374" s="10"/>
      <c r="Q374" s="10"/>
      <c r="R374" s="7" t="str">
        <f ca="1">IF(B374="","",IF(Q374&lt;&gt;"",Q374,IF(H374&gt;TODAY(),"لم يبدأ بعد",IF(J374&lt;TODAY(),"منتهٍ",IF(J374-TODAY()&lt;='القوائم والإعدادات'!$E$2,"قريب الانتهاء","ساري")))))</f>
        <v/>
      </c>
      <c r="S374" s="7" t="str">
        <f t="shared" ca="1" si="18"/>
        <v/>
      </c>
      <c r="T374" s="7" t="str">
        <f ca="1">IF(OR(R374="ساري",R374="قريب الانتهاء"),IF(S374&lt;='القوائم والإعدادات'!$E$4,"عاجل",IF(S374&lt;='القوائم والإعدادات'!$E$3,"خلال 60 يوم",IF(S374&lt;='القوائم والإعدادات'!$E$2,"خلال 90 يوم",""))),"")</f>
        <v/>
      </c>
      <c r="U374" s="7" t="str">
        <f>IF(B374="","",COUNTIF(التمديدات!$A$2:$A$301,B374))</f>
        <v/>
      </c>
      <c r="V374" s="10"/>
      <c r="W374" s="10"/>
      <c r="X374" s="7" t="str">
        <f t="shared" si="19"/>
        <v/>
      </c>
    </row>
    <row r="375" spans="1:24">
      <c r="A375" s="7">
        <v>374</v>
      </c>
      <c r="B375" s="10"/>
      <c r="C375" s="10"/>
      <c r="D375" s="10"/>
      <c r="E375" s="10"/>
      <c r="F375" s="10"/>
      <c r="G375" s="11"/>
      <c r="H375" s="11"/>
      <c r="I375" s="11"/>
      <c r="J375" s="12" t="str">
        <f>IF(B375="","",MAX(I375,_xlfn.MAXIFS(التمديدات!$C$2:$C$301,التمديدات!$A$2:$A$301,B375)))</f>
        <v/>
      </c>
      <c r="K375" s="7" t="str">
        <f t="shared" si="17"/>
        <v/>
      </c>
      <c r="L375" s="26"/>
      <c r="M375" s="27"/>
      <c r="N375" s="10"/>
      <c r="O375" s="10"/>
      <c r="P375" s="10"/>
      <c r="Q375" s="10"/>
      <c r="R375" s="7" t="str">
        <f ca="1">IF(B375="","",IF(Q375&lt;&gt;"",Q375,IF(H375&gt;TODAY(),"لم يبدأ بعد",IF(J375&lt;TODAY(),"منتهٍ",IF(J375-TODAY()&lt;='القوائم والإعدادات'!$E$2,"قريب الانتهاء","ساري")))))</f>
        <v/>
      </c>
      <c r="S375" s="7" t="str">
        <f t="shared" ca="1" si="18"/>
        <v/>
      </c>
      <c r="T375" s="7" t="str">
        <f ca="1">IF(OR(R375="ساري",R375="قريب الانتهاء"),IF(S375&lt;='القوائم والإعدادات'!$E$4,"عاجل",IF(S375&lt;='القوائم والإعدادات'!$E$3,"خلال 60 يوم",IF(S375&lt;='القوائم والإعدادات'!$E$2,"خلال 90 يوم",""))),"")</f>
        <v/>
      </c>
      <c r="U375" s="7" t="str">
        <f>IF(B375="","",COUNTIF(التمديدات!$A$2:$A$301,B375))</f>
        <v/>
      </c>
      <c r="V375" s="10"/>
      <c r="W375" s="10"/>
      <c r="X375" s="7" t="str">
        <f t="shared" si="19"/>
        <v/>
      </c>
    </row>
    <row r="376" spans="1:24">
      <c r="A376" s="7">
        <v>375</v>
      </c>
      <c r="B376" s="10"/>
      <c r="C376" s="10"/>
      <c r="D376" s="10"/>
      <c r="E376" s="10"/>
      <c r="F376" s="10"/>
      <c r="G376" s="11"/>
      <c r="H376" s="11"/>
      <c r="I376" s="11"/>
      <c r="J376" s="12" t="str">
        <f>IF(B376="","",MAX(I376,_xlfn.MAXIFS(التمديدات!$C$2:$C$301,التمديدات!$A$2:$A$301,B376)))</f>
        <v/>
      </c>
      <c r="K376" s="7" t="str">
        <f t="shared" si="17"/>
        <v/>
      </c>
      <c r="L376" s="26"/>
      <c r="M376" s="27"/>
      <c r="N376" s="10"/>
      <c r="O376" s="10"/>
      <c r="P376" s="10"/>
      <c r="Q376" s="10"/>
      <c r="R376" s="7" t="str">
        <f ca="1">IF(B376="","",IF(Q376&lt;&gt;"",Q376,IF(H376&gt;TODAY(),"لم يبدأ بعد",IF(J376&lt;TODAY(),"منتهٍ",IF(J376-TODAY()&lt;='القوائم والإعدادات'!$E$2,"قريب الانتهاء","ساري")))))</f>
        <v/>
      </c>
      <c r="S376" s="7" t="str">
        <f t="shared" ca="1" si="18"/>
        <v/>
      </c>
      <c r="T376" s="7" t="str">
        <f ca="1">IF(OR(R376="ساري",R376="قريب الانتهاء"),IF(S376&lt;='القوائم والإعدادات'!$E$4,"عاجل",IF(S376&lt;='القوائم والإعدادات'!$E$3,"خلال 60 يوم",IF(S376&lt;='القوائم والإعدادات'!$E$2,"خلال 90 يوم",""))),"")</f>
        <v/>
      </c>
      <c r="U376" s="7" t="str">
        <f>IF(B376="","",COUNTIF(التمديدات!$A$2:$A$301,B376))</f>
        <v/>
      </c>
      <c r="V376" s="10"/>
      <c r="W376" s="10"/>
      <c r="X376" s="7" t="str">
        <f t="shared" si="19"/>
        <v/>
      </c>
    </row>
    <row r="377" spans="1:24">
      <c r="A377" s="7">
        <v>376</v>
      </c>
      <c r="B377" s="10"/>
      <c r="C377" s="10"/>
      <c r="D377" s="10"/>
      <c r="E377" s="10"/>
      <c r="F377" s="10"/>
      <c r="G377" s="11"/>
      <c r="H377" s="11"/>
      <c r="I377" s="11"/>
      <c r="J377" s="12" t="str">
        <f>IF(B377="","",MAX(I377,_xlfn.MAXIFS(التمديدات!$C$2:$C$301,التمديدات!$A$2:$A$301,B377)))</f>
        <v/>
      </c>
      <c r="K377" s="7" t="str">
        <f t="shared" si="17"/>
        <v/>
      </c>
      <c r="L377" s="26"/>
      <c r="M377" s="27"/>
      <c r="N377" s="10"/>
      <c r="O377" s="10"/>
      <c r="P377" s="10"/>
      <c r="Q377" s="10"/>
      <c r="R377" s="7" t="str">
        <f ca="1">IF(B377="","",IF(Q377&lt;&gt;"",Q377,IF(H377&gt;TODAY(),"لم يبدأ بعد",IF(J377&lt;TODAY(),"منتهٍ",IF(J377-TODAY()&lt;='القوائم والإعدادات'!$E$2,"قريب الانتهاء","ساري")))))</f>
        <v/>
      </c>
      <c r="S377" s="7" t="str">
        <f t="shared" ca="1" si="18"/>
        <v/>
      </c>
      <c r="T377" s="7" t="str">
        <f ca="1">IF(OR(R377="ساري",R377="قريب الانتهاء"),IF(S377&lt;='القوائم والإعدادات'!$E$4,"عاجل",IF(S377&lt;='القوائم والإعدادات'!$E$3,"خلال 60 يوم",IF(S377&lt;='القوائم والإعدادات'!$E$2,"خلال 90 يوم",""))),"")</f>
        <v/>
      </c>
      <c r="U377" s="7" t="str">
        <f>IF(B377="","",COUNTIF(التمديدات!$A$2:$A$301,B377))</f>
        <v/>
      </c>
      <c r="V377" s="10"/>
      <c r="W377" s="10"/>
      <c r="X377" s="7" t="str">
        <f t="shared" si="19"/>
        <v/>
      </c>
    </row>
    <row r="378" spans="1:24">
      <c r="A378" s="7">
        <v>377</v>
      </c>
      <c r="B378" s="10"/>
      <c r="C378" s="10"/>
      <c r="D378" s="10"/>
      <c r="E378" s="10"/>
      <c r="F378" s="10"/>
      <c r="G378" s="11"/>
      <c r="H378" s="11"/>
      <c r="I378" s="11"/>
      <c r="J378" s="12" t="str">
        <f>IF(B378="","",MAX(I378,_xlfn.MAXIFS(التمديدات!$C$2:$C$301,التمديدات!$A$2:$A$301,B378)))</f>
        <v/>
      </c>
      <c r="K378" s="7" t="str">
        <f t="shared" si="17"/>
        <v/>
      </c>
      <c r="L378" s="26"/>
      <c r="M378" s="27"/>
      <c r="N378" s="10"/>
      <c r="O378" s="10"/>
      <c r="P378" s="10"/>
      <c r="Q378" s="10"/>
      <c r="R378" s="7" t="str">
        <f ca="1">IF(B378="","",IF(Q378&lt;&gt;"",Q378,IF(H378&gt;TODAY(),"لم يبدأ بعد",IF(J378&lt;TODAY(),"منتهٍ",IF(J378-TODAY()&lt;='القوائم والإعدادات'!$E$2,"قريب الانتهاء","ساري")))))</f>
        <v/>
      </c>
      <c r="S378" s="7" t="str">
        <f t="shared" ca="1" si="18"/>
        <v/>
      </c>
      <c r="T378" s="7" t="str">
        <f ca="1">IF(OR(R378="ساري",R378="قريب الانتهاء"),IF(S378&lt;='القوائم والإعدادات'!$E$4,"عاجل",IF(S378&lt;='القوائم والإعدادات'!$E$3,"خلال 60 يوم",IF(S378&lt;='القوائم والإعدادات'!$E$2,"خلال 90 يوم",""))),"")</f>
        <v/>
      </c>
      <c r="U378" s="7" t="str">
        <f>IF(B378="","",COUNTIF(التمديدات!$A$2:$A$301,B378))</f>
        <v/>
      </c>
      <c r="V378" s="10"/>
      <c r="W378" s="10"/>
      <c r="X378" s="7" t="str">
        <f t="shared" si="19"/>
        <v/>
      </c>
    </row>
    <row r="379" spans="1:24">
      <c r="A379" s="7">
        <v>378</v>
      </c>
      <c r="B379" s="10"/>
      <c r="C379" s="10"/>
      <c r="D379" s="10"/>
      <c r="E379" s="10"/>
      <c r="F379" s="10"/>
      <c r="G379" s="11"/>
      <c r="H379" s="11"/>
      <c r="I379" s="11"/>
      <c r="J379" s="12" t="str">
        <f>IF(B379="","",MAX(I379,_xlfn.MAXIFS(التمديدات!$C$2:$C$301,التمديدات!$A$2:$A$301,B379)))</f>
        <v/>
      </c>
      <c r="K379" s="7" t="str">
        <f t="shared" si="17"/>
        <v/>
      </c>
      <c r="L379" s="26"/>
      <c r="M379" s="27"/>
      <c r="N379" s="10"/>
      <c r="O379" s="10"/>
      <c r="P379" s="10"/>
      <c r="Q379" s="10"/>
      <c r="R379" s="7" t="str">
        <f ca="1">IF(B379="","",IF(Q379&lt;&gt;"",Q379,IF(H379&gt;TODAY(),"لم يبدأ بعد",IF(J379&lt;TODAY(),"منتهٍ",IF(J379-TODAY()&lt;='القوائم والإعدادات'!$E$2,"قريب الانتهاء","ساري")))))</f>
        <v/>
      </c>
      <c r="S379" s="7" t="str">
        <f t="shared" ca="1" si="18"/>
        <v/>
      </c>
      <c r="T379" s="7" t="str">
        <f ca="1">IF(OR(R379="ساري",R379="قريب الانتهاء"),IF(S379&lt;='القوائم والإعدادات'!$E$4,"عاجل",IF(S379&lt;='القوائم والإعدادات'!$E$3,"خلال 60 يوم",IF(S379&lt;='القوائم والإعدادات'!$E$2,"خلال 90 يوم",""))),"")</f>
        <v/>
      </c>
      <c r="U379" s="7" t="str">
        <f>IF(B379="","",COUNTIF(التمديدات!$A$2:$A$301,B379))</f>
        <v/>
      </c>
      <c r="V379" s="10"/>
      <c r="W379" s="10"/>
      <c r="X379" s="7" t="str">
        <f t="shared" si="19"/>
        <v/>
      </c>
    </row>
    <row r="380" spans="1:24">
      <c r="A380" s="7">
        <v>379</v>
      </c>
      <c r="B380" s="10"/>
      <c r="C380" s="10"/>
      <c r="D380" s="10"/>
      <c r="E380" s="10"/>
      <c r="F380" s="10"/>
      <c r="G380" s="11"/>
      <c r="H380" s="11"/>
      <c r="I380" s="11"/>
      <c r="J380" s="12" t="str">
        <f>IF(B380="","",MAX(I380,_xlfn.MAXIFS(التمديدات!$C$2:$C$301,التمديدات!$A$2:$A$301,B380)))</f>
        <v/>
      </c>
      <c r="K380" s="7" t="str">
        <f t="shared" si="17"/>
        <v/>
      </c>
      <c r="L380" s="26"/>
      <c r="M380" s="27"/>
      <c r="N380" s="10"/>
      <c r="O380" s="10"/>
      <c r="P380" s="10"/>
      <c r="Q380" s="10"/>
      <c r="R380" s="7" t="str">
        <f ca="1">IF(B380="","",IF(Q380&lt;&gt;"",Q380,IF(H380&gt;TODAY(),"لم يبدأ بعد",IF(J380&lt;TODAY(),"منتهٍ",IF(J380-TODAY()&lt;='القوائم والإعدادات'!$E$2,"قريب الانتهاء","ساري")))))</f>
        <v/>
      </c>
      <c r="S380" s="7" t="str">
        <f t="shared" ca="1" si="18"/>
        <v/>
      </c>
      <c r="T380" s="7" t="str">
        <f ca="1">IF(OR(R380="ساري",R380="قريب الانتهاء"),IF(S380&lt;='القوائم والإعدادات'!$E$4,"عاجل",IF(S380&lt;='القوائم والإعدادات'!$E$3,"خلال 60 يوم",IF(S380&lt;='القوائم والإعدادات'!$E$2,"خلال 90 يوم",""))),"")</f>
        <v/>
      </c>
      <c r="U380" s="7" t="str">
        <f>IF(B380="","",COUNTIF(التمديدات!$A$2:$A$301,B380))</f>
        <v/>
      </c>
      <c r="V380" s="10"/>
      <c r="W380" s="10"/>
      <c r="X380" s="7" t="str">
        <f t="shared" si="19"/>
        <v/>
      </c>
    </row>
    <row r="381" spans="1:24">
      <c r="A381" s="7">
        <v>380</v>
      </c>
      <c r="B381" s="10"/>
      <c r="C381" s="10"/>
      <c r="D381" s="10"/>
      <c r="E381" s="10"/>
      <c r="F381" s="10"/>
      <c r="G381" s="11"/>
      <c r="H381" s="11"/>
      <c r="I381" s="11"/>
      <c r="J381" s="12" t="str">
        <f>IF(B381="","",MAX(I381,_xlfn.MAXIFS(التمديدات!$C$2:$C$301,التمديدات!$A$2:$A$301,B381)))</f>
        <v/>
      </c>
      <c r="K381" s="7" t="str">
        <f t="shared" si="17"/>
        <v/>
      </c>
      <c r="L381" s="26"/>
      <c r="M381" s="27"/>
      <c r="N381" s="10"/>
      <c r="O381" s="10"/>
      <c r="P381" s="10"/>
      <c r="Q381" s="10"/>
      <c r="R381" s="7" t="str">
        <f ca="1">IF(B381="","",IF(Q381&lt;&gt;"",Q381,IF(H381&gt;TODAY(),"لم يبدأ بعد",IF(J381&lt;TODAY(),"منتهٍ",IF(J381-TODAY()&lt;='القوائم والإعدادات'!$E$2,"قريب الانتهاء","ساري")))))</f>
        <v/>
      </c>
      <c r="S381" s="7" t="str">
        <f t="shared" ca="1" si="18"/>
        <v/>
      </c>
      <c r="T381" s="7" t="str">
        <f ca="1">IF(OR(R381="ساري",R381="قريب الانتهاء"),IF(S381&lt;='القوائم والإعدادات'!$E$4,"عاجل",IF(S381&lt;='القوائم والإعدادات'!$E$3,"خلال 60 يوم",IF(S381&lt;='القوائم والإعدادات'!$E$2,"خلال 90 يوم",""))),"")</f>
        <v/>
      </c>
      <c r="U381" s="7" t="str">
        <f>IF(B381="","",COUNTIF(التمديدات!$A$2:$A$301,B381))</f>
        <v/>
      </c>
      <c r="V381" s="10"/>
      <c r="W381" s="10"/>
      <c r="X381" s="7" t="str">
        <f t="shared" si="19"/>
        <v/>
      </c>
    </row>
    <row r="382" spans="1:24">
      <c r="A382" s="7">
        <v>381</v>
      </c>
      <c r="B382" s="10"/>
      <c r="C382" s="10"/>
      <c r="D382" s="10"/>
      <c r="E382" s="10"/>
      <c r="F382" s="10"/>
      <c r="G382" s="11"/>
      <c r="H382" s="11"/>
      <c r="I382" s="11"/>
      <c r="J382" s="12" t="str">
        <f>IF(B382="","",MAX(I382,_xlfn.MAXIFS(التمديدات!$C$2:$C$301,التمديدات!$A$2:$A$301,B382)))</f>
        <v/>
      </c>
      <c r="K382" s="7" t="str">
        <f t="shared" si="17"/>
        <v/>
      </c>
      <c r="L382" s="26"/>
      <c r="M382" s="27"/>
      <c r="N382" s="10"/>
      <c r="O382" s="10"/>
      <c r="P382" s="10"/>
      <c r="Q382" s="10"/>
      <c r="R382" s="7" t="str">
        <f ca="1">IF(B382="","",IF(Q382&lt;&gt;"",Q382,IF(H382&gt;TODAY(),"لم يبدأ بعد",IF(J382&lt;TODAY(),"منتهٍ",IF(J382-TODAY()&lt;='القوائم والإعدادات'!$E$2,"قريب الانتهاء","ساري")))))</f>
        <v/>
      </c>
      <c r="S382" s="7" t="str">
        <f t="shared" ca="1" si="18"/>
        <v/>
      </c>
      <c r="T382" s="7" t="str">
        <f ca="1">IF(OR(R382="ساري",R382="قريب الانتهاء"),IF(S382&lt;='القوائم والإعدادات'!$E$4,"عاجل",IF(S382&lt;='القوائم والإعدادات'!$E$3,"خلال 60 يوم",IF(S382&lt;='القوائم والإعدادات'!$E$2,"خلال 90 يوم",""))),"")</f>
        <v/>
      </c>
      <c r="U382" s="7" t="str">
        <f>IF(B382="","",COUNTIF(التمديدات!$A$2:$A$301,B382))</f>
        <v/>
      </c>
      <c r="V382" s="10"/>
      <c r="W382" s="10"/>
      <c r="X382" s="7" t="str">
        <f t="shared" si="19"/>
        <v/>
      </c>
    </row>
    <row r="383" spans="1:24">
      <c r="A383" s="7">
        <v>382</v>
      </c>
      <c r="B383" s="10"/>
      <c r="C383" s="10"/>
      <c r="D383" s="10"/>
      <c r="E383" s="10"/>
      <c r="F383" s="10"/>
      <c r="G383" s="11"/>
      <c r="H383" s="11"/>
      <c r="I383" s="11"/>
      <c r="J383" s="12" t="str">
        <f>IF(B383="","",MAX(I383,_xlfn.MAXIFS(التمديدات!$C$2:$C$301,التمديدات!$A$2:$A$301,B383)))</f>
        <v/>
      </c>
      <c r="K383" s="7" t="str">
        <f t="shared" si="17"/>
        <v/>
      </c>
      <c r="L383" s="26"/>
      <c r="M383" s="27"/>
      <c r="N383" s="10"/>
      <c r="O383" s="10"/>
      <c r="P383" s="10"/>
      <c r="Q383" s="10"/>
      <c r="R383" s="7" t="str">
        <f ca="1">IF(B383="","",IF(Q383&lt;&gt;"",Q383,IF(H383&gt;TODAY(),"لم يبدأ بعد",IF(J383&lt;TODAY(),"منتهٍ",IF(J383-TODAY()&lt;='القوائم والإعدادات'!$E$2,"قريب الانتهاء","ساري")))))</f>
        <v/>
      </c>
      <c r="S383" s="7" t="str">
        <f t="shared" ca="1" si="18"/>
        <v/>
      </c>
      <c r="T383" s="7" t="str">
        <f ca="1">IF(OR(R383="ساري",R383="قريب الانتهاء"),IF(S383&lt;='القوائم والإعدادات'!$E$4,"عاجل",IF(S383&lt;='القوائم والإعدادات'!$E$3,"خلال 60 يوم",IF(S383&lt;='القوائم والإعدادات'!$E$2,"خلال 90 يوم",""))),"")</f>
        <v/>
      </c>
      <c r="U383" s="7" t="str">
        <f>IF(B383="","",COUNTIF(التمديدات!$A$2:$A$301,B383))</f>
        <v/>
      </c>
      <c r="V383" s="10"/>
      <c r="W383" s="10"/>
      <c r="X383" s="7" t="str">
        <f t="shared" si="19"/>
        <v/>
      </c>
    </row>
    <row r="384" spans="1:24">
      <c r="A384" s="7">
        <v>383</v>
      </c>
      <c r="B384" s="10"/>
      <c r="C384" s="10"/>
      <c r="D384" s="10"/>
      <c r="E384" s="10"/>
      <c r="F384" s="10"/>
      <c r="G384" s="11"/>
      <c r="H384" s="11"/>
      <c r="I384" s="11"/>
      <c r="J384" s="12" t="str">
        <f>IF(B384="","",MAX(I384,_xlfn.MAXIFS(التمديدات!$C$2:$C$301,التمديدات!$A$2:$A$301,B384)))</f>
        <v/>
      </c>
      <c r="K384" s="7" t="str">
        <f t="shared" si="17"/>
        <v/>
      </c>
      <c r="L384" s="26"/>
      <c r="M384" s="27"/>
      <c r="N384" s="10"/>
      <c r="O384" s="10"/>
      <c r="P384" s="10"/>
      <c r="Q384" s="10"/>
      <c r="R384" s="7" t="str">
        <f ca="1">IF(B384="","",IF(Q384&lt;&gt;"",Q384,IF(H384&gt;TODAY(),"لم يبدأ بعد",IF(J384&lt;TODAY(),"منتهٍ",IF(J384-TODAY()&lt;='القوائم والإعدادات'!$E$2,"قريب الانتهاء","ساري")))))</f>
        <v/>
      </c>
      <c r="S384" s="7" t="str">
        <f t="shared" ca="1" si="18"/>
        <v/>
      </c>
      <c r="T384" s="7" t="str">
        <f ca="1">IF(OR(R384="ساري",R384="قريب الانتهاء"),IF(S384&lt;='القوائم والإعدادات'!$E$4,"عاجل",IF(S384&lt;='القوائم والإعدادات'!$E$3,"خلال 60 يوم",IF(S384&lt;='القوائم والإعدادات'!$E$2,"خلال 90 يوم",""))),"")</f>
        <v/>
      </c>
      <c r="U384" s="7" t="str">
        <f>IF(B384="","",COUNTIF(التمديدات!$A$2:$A$301,B384))</f>
        <v/>
      </c>
      <c r="V384" s="10"/>
      <c r="W384" s="10"/>
      <c r="X384" s="7" t="str">
        <f t="shared" si="19"/>
        <v/>
      </c>
    </row>
    <row r="385" spans="1:24">
      <c r="A385" s="7">
        <v>384</v>
      </c>
      <c r="B385" s="10"/>
      <c r="C385" s="10"/>
      <c r="D385" s="10"/>
      <c r="E385" s="10"/>
      <c r="F385" s="10"/>
      <c r="G385" s="11"/>
      <c r="H385" s="11"/>
      <c r="I385" s="11"/>
      <c r="J385" s="12" t="str">
        <f>IF(B385="","",MAX(I385,_xlfn.MAXIFS(التمديدات!$C$2:$C$301,التمديدات!$A$2:$A$301,B385)))</f>
        <v/>
      </c>
      <c r="K385" s="7" t="str">
        <f t="shared" si="17"/>
        <v/>
      </c>
      <c r="L385" s="26"/>
      <c r="M385" s="27"/>
      <c r="N385" s="10"/>
      <c r="O385" s="10"/>
      <c r="P385" s="10"/>
      <c r="Q385" s="10"/>
      <c r="R385" s="7" t="str">
        <f ca="1">IF(B385="","",IF(Q385&lt;&gt;"",Q385,IF(H385&gt;TODAY(),"لم يبدأ بعد",IF(J385&lt;TODAY(),"منتهٍ",IF(J385-TODAY()&lt;='القوائم والإعدادات'!$E$2,"قريب الانتهاء","ساري")))))</f>
        <v/>
      </c>
      <c r="S385" s="7" t="str">
        <f t="shared" ca="1" si="18"/>
        <v/>
      </c>
      <c r="T385" s="7" t="str">
        <f ca="1">IF(OR(R385="ساري",R385="قريب الانتهاء"),IF(S385&lt;='القوائم والإعدادات'!$E$4,"عاجل",IF(S385&lt;='القوائم والإعدادات'!$E$3,"خلال 60 يوم",IF(S385&lt;='القوائم والإعدادات'!$E$2,"خلال 90 يوم",""))),"")</f>
        <v/>
      </c>
      <c r="U385" s="7" t="str">
        <f>IF(B385="","",COUNTIF(التمديدات!$A$2:$A$301,B385))</f>
        <v/>
      </c>
      <c r="V385" s="10"/>
      <c r="W385" s="10"/>
      <c r="X385" s="7" t="str">
        <f t="shared" si="19"/>
        <v/>
      </c>
    </row>
    <row r="386" spans="1:24">
      <c r="A386" s="7">
        <v>385</v>
      </c>
      <c r="B386" s="10"/>
      <c r="C386" s="10"/>
      <c r="D386" s="10"/>
      <c r="E386" s="10"/>
      <c r="F386" s="10"/>
      <c r="G386" s="11"/>
      <c r="H386" s="11"/>
      <c r="I386" s="11"/>
      <c r="J386" s="12" t="str">
        <f>IF(B386="","",MAX(I386,_xlfn.MAXIFS(التمديدات!$C$2:$C$301,التمديدات!$A$2:$A$301,B386)))</f>
        <v/>
      </c>
      <c r="K386" s="7" t="str">
        <f t="shared" ref="K386:K449" si="20">IF(OR(H386="",I386=""),"",ROUND((I386-H386)/30.4,0))</f>
        <v/>
      </c>
      <c r="L386" s="26"/>
      <c r="M386" s="27"/>
      <c r="N386" s="10"/>
      <c r="O386" s="10"/>
      <c r="P386" s="10"/>
      <c r="Q386" s="10"/>
      <c r="R386" s="7" t="str">
        <f ca="1">IF(B386="","",IF(Q386&lt;&gt;"",Q386,IF(H386&gt;TODAY(),"لم يبدأ بعد",IF(J386&lt;TODAY(),"منتهٍ",IF(J386-TODAY()&lt;='القوائم والإعدادات'!$E$2,"قريب الانتهاء","ساري")))))</f>
        <v/>
      </c>
      <c r="S386" s="7" t="str">
        <f t="shared" ca="1" si="18"/>
        <v/>
      </c>
      <c r="T386" s="7" t="str">
        <f ca="1">IF(OR(R386="ساري",R386="قريب الانتهاء"),IF(S386&lt;='القوائم والإعدادات'!$E$4,"عاجل",IF(S386&lt;='القوائم والإعدادات'!$E$3,"خلال 60 يوم",IF(S386&lt;='القوائم والإعدادات'!$E$2,"خلال 90 يوم",""))),"")</f>
        <v/>
      </c>
      <c r="U386" s="7" t="str">
        <f>IF(B386="","",COUNTIF(التمديدات!$A$2:$A$301,B386))</f>
        <v/>
      </c>
      <c r="V386" s="10"/>
      <c r="W386" s="10"/>
      <c r="X386" s="7" t="str">
        <f t="shared" si="19"/>
        <v/>
      </c>
    </row>
    <row r="387" spans="1:24">
      <c r="A387" s="7">
        <v>386</v>
      </c>
      <c r="B387" s="10"/>
      <c r="C387" s="10"/>
      <c r="D387" s="10"/>
      <c r="E387" s="10"/>
      <c r="F387" s="10"/>
      <c r="G387" s="11"/>
      <c r="H387" s="11"/>
      <c r="I387" s="11"/>
      <c r="J387" s="12" t="str">
        <f>IF(B387="","",MAX(I387,_xlfn.MAXIFS(التمديدات!$C$2:$C$301,التمديدات!$A$2:$A$301,B387)))</f>
        <v/>
      </c>
      <c r="K387" s="7" t="str">
        <f t="shared" si="20"/>
        <v/>
      </c>
      <c r="L387" s="26"/>
      <c r="M387" s="27"/>
      <c r="N387" s="10"/>
      <c r="O387" s="10"/>
      <c r="P387" s="10"/>
      <c r="Q387" s="10"/>
      <c r="R387" s="7" t="str">
        <f ca="1">IF(B387="","",IF(Q387&lt;&gt;"",Q387,IF(H387&gt;TODAY(),"لم يبدأ بعد",IF(J387&lt;TODAY(),"منتهٍ",IF(J387-TODAY()&lt;='القوائم والإعدادات'!$E$2,"قريب الانتهاء","ساري")))))</f>
        <v/>
      </c>
      <c r="S387" s="7" t="str">
        <f t="shared" ca="1" si="18"/>
        <v/>
      </c>
      <c r="T387" s="7" t="str">
        <f ca="1">IF(OR(R387="ساري",R387="قريب الانتهاء"),IF(S387&lt;='القوائم والإعدادات'!$E$4,"عاجل",IF(S387&lt;='القوائم والإعدادات'!$E$3,"خلال 60 يوم",IF(S387&lt;='القوائم والإعدادات'!$E$2,"خلال 90 يوم",""))),"")</f>
        <v/>
      </c>
      <c r="U387" s="7" t="str">
        <f>IF(B387="","",COUNTIF(التمديدات!$A$2:$A$301,B387))</f>
        <v/>
      </c>
      <c r="V387" s="10"/>
      <c r="W387" s="10"/>
      <c r="X387" s="7" t="str">
        <f t="shared" si="19"/>
        <v/>
      </c>
    </row>
    <row r="388" spans="1:24">
      <c r="A388" s="7">
        <v>387</v>
      </c>
      <c r="B388" s="10"/>
      <c r="C388" s="10"/>
      <c r="D388" s="10"/>
      <c r="E388" s="10"/>
      <c r="F388" s="10"/>
      <c r="G388" s="11"/>
      <c r="H388" s="11"/>
      <c r="I388" s="11"/>
      <c r="J388" s="12" t="str">
        <f>IF(B388="","",MAX(I388,_xlfn.MAXIFS(التمديدات!$C$2:$C$301,التمديدات!$A$2:$A$301,B388)))</f>
        <v/>
      </c>
      <c r="K388" s="7" t="str">
        <f t="shared" si="20"/>
        <v/>
      </c>
      <c r="L388" s="26"/>
      <c r="M388" s="27"/>
      <c r="N388" s="10"/>
      <c r="O388" s="10"/>
      <c r="P388" s="10"/>
      <c r="Q388" s="10"/>
      <c r="R388" s="7" t="str">
        <f ca="1">IF(B388="","",IF(Q388&lt;&gt;"",Q388,IF(H388&gt;TODAY(),"لم يبدأ بعد",IF(J388&lt;TODAY(),"منتهٍ",IF(J388-TODAY()&lt;='القوائم والإعدادات'!$E$2,"قريب الانتهاء","ساري")))))</f>
        <v/>
      </c>
      <c r="S388" s="7" t="str">
        <f t="shared" ca="1" si="18"/>
        <v/>
      </c>
      <c r="T388" s="7" t="str">
        <f ca="1">IF(OR(R388="ساري",R388="قريب الانتهاء"),IF(S388&lt;='القوائم والإعدادات'!$E$4,"عاجل",IF(S388&lt;='القوائم والإعدادات'!$E$3,"خلال 60 يوم",IF(S388&lt;='القوائم والإعدادات'!$E$2,"خلال 90 يوم",""))),"")</f>
        <v/>
      </c>
      <c r="U388" s="7" t="str">
        <f>IF(B388="","",COUNTIF(التمديدات!$A$2:$A$301,B388))</f>
        <v/>
      </c>
      <c r="V388" s="10"/>
      <c r="W388" s="10"/>
      <c r="X388" s="7" t="str">
        <f t="shared" si="19"/>
        <v/>
      </c>
    </row>
    <row r="389" spans="1:24">
      <c r="A389" s="7">
        <v>388</v>
      </c>
      <c r="B389" s="10"/>
      <c r="C389" s="10"/>
      <c r="D389" s="10"/>
      <c r="E389" s="10"/>
      <c r="F389" s="10"/>
      <c r="G389" s="11"/>
      <c r="H389" s="11"/>
      <c r="I389" s="11"/>
      <c r="J389" s="12" t="str">
        <f>IF(B389="","",MAX(I389,_xlfn.MAXIFS(التمديدات!$C$2:$C$301,التمديدات!$A$2:$A$301,B389)))</f>
        <v/>
      </c>
      <c r="K389" s="7" t="str">
        <f t="shared" si="20"/>
        <v/>
      </c>
      <c r="L389" s="26"/>
      <c r="M389" s="27"/>
      <c r="N389" s="10"/>
      <c r="O389" s="10"/>
      <c r="P389" s="10"/>
      <c r="Q389" s="10"/>
      <c r="R389" s="7" t="str">
        <f ca="1">IF(B389="","",IF(Q389&lt;&gt;"",Q389,IF(H389&gt;TODAY(),"لم يبدأ بعد",IF(J389&lt;TODAY(),"منتهٍ",IF(J389-TODAY()&lt;='القوائم والإعدادات'!$E$2,"قريب الانتهاء","ساري")))))</f>
        <v/>
      </c>
      <c r="S389" s="7" t="str">
        <f t="shared" ca="1" si="18"/>
        <v/>
      </c>
      <c r="T389" s="7" t="str">
        <f ca="1">IF(OR(R389="ساري",R389="قريب الانتهاء"),IF(S389&lt;='القوائم والإعدادات'!$E$4,"عاجل",IF(S389&lt;='القوائم والإعدادات'!$E$3,"خلال 60 يوم",IF(S389&lt;='القوائم والإعدادات'!$E$2,"خلال 90 يوم",""))),"")</f>
        <v/>
      </c>
      <c r="U389" s="7" t="str">
        <f>IF(B389="","",COUNTIF(التمديدات!$A$2:$A$301,B389))</f>
        <v/>
      </c>
      <c r="V389" s="10"/>
      <c r="W389" s="10"/>
      <c r="X389" s="7" t="str">
        <f t="shared" si="19"/>
        <v/>
      </c>
    </row>
    <row r="390" spans="1:24">
      <c r="A390" s="7">
        <v>389</v>
      </c>
      <c r="B390" s="10"/>
      <c r="C390" s="10"/>
      <c r="D390" s="10"/>
      <c r="E390" s="10"/>
      <c r="F390" s="10"/>
      <c r="G390" s="11"/>
      <c r="H390" s="11"/>
      <c r="I390" s="11"/>
      <c r="J390" s="12" t="str">
        <f>IF(B390="","",MAX(I390,_xlfn.MAXIFS(التمديدات!$C$2:$C$301,التمديدات!$A$2:$A$301,B390)))</f>
        <v/>
      </c>
      <c r="K390" s="7" t="str">
        <f t="shared" si="20"/>
        <v/>
      </c>
      <c r="L390" s="26"/>
      <c r="M390" s="27"/>
      <c r="N390" s="10"/>
      <c r="O390" s="10"/>
      <c r="P390" s="10"/>
      <c r="Q390" s="10"/>
      <c r="R390" s="7" t="str">
        <f ca="1">IF(B390="","",IF(Q390&lt;&gt;"",Q390,IF(H390&gt;TODAY(),"لم يبدأ بعد",IF(J390&lt;TODAY(),"منتهٍ",IF(J390-TODAY()&lt;='القوائم والإعدادات'!$E$2,"قريب الانتهاء","ساري")))))</f>
        <v/>
      </c>
      <c r="S390" s="7" t="str">
        <f t="shared" ca="1" si="18"/>
        <v/>
      </c>
      <c r="T390" s="7" t="str">
        <f ca="1">IF(OR(R390="ساري",R390="قريب الانتهاء"),IF(S390&lt;='القوائم والإعدادات'!$E$4,"عاجل",IF(S390&lt;='القوائم والإعدادات'!$E$3,"خلال 60 يوم",IF(S390&lt;='القوائم والإعدادات'!$E$2,"خلال 90 يوم",""))),"")</f>
        <v/>
      </c>
      <c r="U390" s="7" t="str">
        <f>IF(B390="","",COUNTIF(التمديدات!$A$2:$A$301,B390))</f>
        <v/>
      </c>
      <c r="V390" s="10"/>
      <c r="W390" s="10"/>
      <c r="X390" s="7" t="str">
        <f t="shared" si="19"/>
        <v/>
      </c>
    </row>
    <row r="391" spans="1:24">
      <c r="A391" s="7">
        <v>390</v>
      </c>
      <c r="B391" s="10"/>
      <c r="C391" s="10"/>
      <c r="D391" s="10"/>
      <c r="E391" s="10"/>
      <c r="F391" s="10"/>
      <c r="G391" s="11"/>
      <c r="H391" s="11"/>
      <c r="I391" s="11"/>
      <c r="J391" s="12" t="str">
        <f>IF(B391="","",MAX(I391,_xlfn.MAXIFS(التمديدات!$C$2:$C$301,التمديدات!$A$2:$A$301,B391)))</f>
        <v/>
      </c>
      <c r="K391" s="7" t="str">
        <f t="shared" si="20"/>
        <v/>
      </c>
      <c r="L391" s="26"/>
      <c r="M391" s="27"/>
      <c r="N391" s="10"/>
      <c r="O391" s="10"/>
      <c r="P391" s="10"/>
      <c r="Q391" s="10"/>
      <c r="R391" s="7" t="str">
        <f ca="1">IF(B391="","",IF(Q391&lt;&gt;"",Q391,IF(H391&gt;TODAY(),"لم يبدأ بعد",IF(J391&lt;TODAY(),"منتهٍ",IF(J391-TODAY()&lt;='القوائم والإعدادات'!$E$2,"قريب الانتهاء","ساري")))))</f>
        <v/>
      </c>
      <c r="S391" s="7" t="str">
        <f t="shared" ca="1" si="18"/>
        <v/>
      </c>
      <c r="T391" s="7" t="str">
        <f ca="1">IF(OR(R391="ساري",R391="قريب الانتهاء"),IF(S391&lt;='القوائم والإعدادات'!$E$4,"عاجل",IF(S391&lt;='القوائم والإعدادات'!$E$3,"خلال 60 يوم",IF(S391&lt;='القوائم والإعدادات'!$E$2,"خلال 90 يوم",""))),"")</f>
        <v/>
      </c>
      <c r="U391" s="7" t="str">
        <f>IF(B391="","",COUNTIF(التمديدات!$A$2:$A$301,B391))</f>
        <v/>
      </c>
      <c r="V391" s="10"/>
      <c r="W391" s="10"/>
      <c r="X391" s="7" t="str">
        <f t="shared" si="19"/>
        <v/>
      </c>
    </row>
    <row r="392" spans="1:24">
      <c r="A392" s="7">
        <v>391</v>
      </c>
      <c r="B392" s="10"/>
      <c r="C392" s="10"/>
      <c r="D392" s="10"/>
      <c r="E392" s="10"/>
      <c r="F392" s="10"/>
      <c r="G392" s="11"/>
      <c r="H392" s="11"/>
      <c r="I392" s="11"/>
      <c r="J392" s="12" t="str">
        <f>IF(B392="","",MAX(I392,_xlfn.MAXIFS(التمديدات!$C$2:$C$301,التمديدات!$A$2:$A$301,B392)))</f>
        <v/>
      </c>
      <c r="K392" s="7" t="str">
        <f t="shared" si="20"/>
        <v/>
      </c>
      <c r="L392" s="26"/>
      <c r="M392" s="27"/>
      <c r="N392" s="10"/>
      <c r="O392" s="10"/>
      <c r="P392" s="10"/>
      <c r="Q392" s="10"/>
      <c r="R392" s="7" t="str">
        <f ca="1">IF(B392="","",IF(Q392&lt;&gt;"",Q392,IF(H392&gt;TODAY(),"لم يبدأ بعد",IF(J392&lt;TODAY(),"منتهٍ",IF(J392-TODAY()&lt;='القوائم والإعدادات'!$E$2,"قريب الانتهاء","ساري")))))</f>
        <v/>
      </c>
      <c r="S392" s="7" t="str">
        <f t="shared" ca="1" si="18"/>
        <v/>
      </c>
      <c r="T392" s="7" t="str">
        <f ca="1">IF(OR(R392="ساري",R392="قريب الانتهاء"),IF(S392&lt;='القوائم والإعدادات'!$E$4,"عاجل",IF(S392&lt;='القوائم والإعدادات'!$E$3,"خلال 60 يوم",IF(S392&lt;='القوائم والإعدادات'!$E$2,"خلال 90 يوم",""))),"")</f>
        <v/>
      </c>
      <c r="U392" s="7" t="str">
        <f>IF(B392="","",COUNTIF(التمديدات!$A$2:$A$301,B392))</f>
        <v/>
      </c>
      <c r="V392" s="10"/>
      <c r="W392" s="10"/>
      <c r="X392" s="7" t="str">
        <f t="shared" si="19"/>
        <v/>
      </c>
    </row>
    <row r="393" spans="1:24">
      <c r="A393" s="7">
        <v>392</v>
      </c>
      <c r="B393" s="10"/>
      <c r="C393" s="10"/>
      <c r="D393" s="10"/>
      <c r="E393" s="10"/>
      <c r="F393" s="10"/>
      <c r="G393" s="11"/>
      <c r="H393" s="11"/>
      <c r="I393" s="11"/>
      <c r="J393" s="12" t="str">
        <f>IF(B393="","",MAX(I393,_xlfn.MAXIFS(التمديدات!$C$2:$C$301,التمديدات!$A$2:$A$301,B393)))</f>
        <v/>
      </c>
      <c r="K393" s="7" t="str">
        <f t="shared" si="20"/>
        <v/>
      </c>
      <c r="L393" s="26"/>
      <c r="M393" s="27"/>
      <c r="N393" s="10"/>
      <c r="O393" s="10"/>
      <c r="P393" s="10"/>
      <c r="Q393" s="10"/>
      <c r="R393" s="7" t="str">
        <f ca="1">IF(B393="","",IF(Q393&lt;&gt;"",Q393,IF(H393&gt;TODAY(),"لم يبدأ بعد",IF(J393&lt;TODAY(),"منتهٍ",IF(J393-TODAY()&lt;='القوائم والإعدادات'!$E$2,"قريب الانتهاء","ساري")))))</f>
        <v/>
      </c>
      <c r="S393" s="7" t="str">
        <f t="shared" ca="1" si="18"/>
        <v/>
      </c>
      <c r="T393" s="7" t="str">
        <f ca="1">IF(OR(R393="ساري",R393="قريب الانتهاء"),IF(S393&lt;='القوائم والإعدادات'!$E$4,"عاجل",IF(S393&lt;='القوائم والإعدادات'!$E$3,"خلال 60 يوم",IF(S393&lt;='القوائم والإعدادات'!$E$2,"خلال 90 يوم",""))),"")</f>
        <v/>
      </c>
      <c r="U393" s="7" t="str">
        <f>IF(B393="","",COUNTIF(التمديدات!$A$2:$A$301,B393))</f>
        <v/>
      </c>
      <c r="V393" s="10"/>
      <c r="W393" s="10"/>
      <c r="X393" s="7" t="str">
        <f t="shared" si="19"/>
        <v/>
      </c>
    </row>
    <row r="394" spans="1:24">
      <c r="A394" s="7">
        <v>393</v>
      </c>
      <c r="B394" s="10"/>
      <c r="C394" s="10"/>
      <c r="D394" s="10"/>
      <c r="E394" s="10"/>
      <c r="F394" s="10"/>
      <c r="G394" s="11"/>
      <c r="H394" s="11"/>
      <c r="I394" s="11"/>
      <c r="J394" s="12" t="str">
        <f>IF(B394="","",MAX(I394,_xlfn.MAXIFS(التمديدات!$C$2:$C$301,التمديدات!$A$2:$A$301,B394)))</f>
        <v/>
      </c>
      <c r="K394" s="7" t="str">
        <f t="shared" si="20"/>
        <v/>
      </c>
      <c r="L394" s="26"/>
      <c r="M394" s="27"/>
      <c r="N394" s="10"/>
      <c r="O394" s="10"/>
      <c r="P394" s="10"/>
      <c r="Q394" s="10"/>
      <c r="R394" s="7" t="str">
        <f ca="1">IF(B394="","",IF(Q394&lt;&gt;"",Q394,IF(H394&gt;TODAY(),"لم يبدأ بعد",IF(J394&lt;TODAY(),"منتهٍ",IF(J394-TODAY()&lt;='القوائم والإعدادات'!$E$2,"قريب الانتهاء","ساري")))))</f>
        <v/>
      </c>
      <c r="S394" s="7" t="str">
        <f t="shared" ca="1" si="18"/>
        <v/>
      </c>
      <c r="T394" s="7" t="str">
        <f ca="1">IF(OR(R394="ساري",R394="قريب الانتهاء"),IF(S394&lt;='القوائم والإعدادات'!$E$4,"عاجل",IF(S394&lt;='القوائم والإعدادات'!$E$3,"خلال 60 يوم",IF(S394&lt;='القوائم والإعدادات'!$E$2,"خلال 90 يوم",""))),"")</f>
        <v/>
      </c>
      <c r="U394" s="7" t="str">
        <f>IF(B394="","",COUNTIF(التمديدات!$A$2:$A$301,B394))</f>
        <v/>
      </c>
      <c r="V394" s="10"/>
      <c r="W394" s="10"/>
      <c r="X394" s="7" t="str">
        <f t="shared" si="19"/>
        <v/>
      </c>
    </row>
    <row r="395" spans="1:24">
      <c r="A395" s="7">
        <v>394</v>
      </c>
      <c r="B395" s="10"/>
      <c r="C395" s="10"/>
      <c r="D395" s="10"/>
      <c r="E395" s="10"/>
      <c r="F395" s="10"/>
      <c r="G395" s="11"/>
      <c r="H395" s="11"/>
      <c r="I395" s="11"/>
      <c r="J395" s="12" t="str">
        <f>IF(B395="","",MAX(I395,_xlfn.MAXIFS(التمديدات!$C$2:$C$301,التمديدات!$A$2:$A$301,B395)))</f>
        <v/>
      </c>
      <c r="K395" s="7" t="str">
        <f t="shared" si="20"/>
        <v/>
      </c>
      <c r="L395" s="26"/>
      <c r="M395" s="27"/>
      <c r="N395" s="10"/>
      <c r="O395" s="10"/>
      <c r="P395" s="10"/>
      <c r="Q395" s="10"/>
      <c r="R395" s="7" t="str">
        <f ca="1">IF(B395="","",IF(Q395&lt;&gt;"",Q395,IF(H395&gt;TODAY(),"لم يبدأ بعد",IF(J395&lt;TODAY(),"منتهٍ",IF(J395-TODAY()&lt;='القوائم والإعدادات'!$E$2,"قريب الانتهاء","ساري")))))</f>
        <v/>
      </c>
      <c r="S395" s="7" t="str">
        <f t="shared" ca="1" si="18"/>
        <v/>
      </c>
      <c r="T395" s="7" t="str">
        <f ca="1">IF(OR(R395="ساري",R395="قريب الانتهاء"),IF(S395&lt;='القوائم والإعدادات'!$E$4,"عاجل",IF(S395&lt;='القوائم والإعدادات'!$E$3,"خلال 60 يوم",IF(S395&lt;='القوائم والإعدادات'!$E$2,"خلال 90 يوم",""))),"")</f>
        <v/>
      </c>
      <c r="U395" s="7" t="str">
        <f>IF(B395="","",COUNTIF(التمديدات!$A$2:$A$301,B395))</f>
        <v/>
      </c>
      <c r="V395" s="10"/>
      <c r="W395" s="10"/>
      <c r="X395" s="7" t="str">
        <f t="shared" si="19"/>
        <v/>
      </c>
    </row>
    <row r="396" spans="1:24">
      <c r="A396" s="7">
        <v>395</v>
      </c>
      <c r="B396" s="10"/>
      <c r="C396" s="10"/>
      <c r="D396" s="10"/>
      <c r="E396" s="10"/>
      <c r="F396" s="10"/>
      <c r="G396" s="11"/>
      <c r="H396" s="11"/>
      <c r="I396" s="11"/>
      <c r="J396" s="12" t="str">
        <f>IF(B396="","",MAX(I396,_xlfn.MAXIFS(التمديدات!$C$2:$C$301,التمديدات!$A$2:$A$301,B396)))</f>
        <v/>
      </c>
      <c r="K396" s="7" t="str">
        <f t="shared" si="20"/>
        <v/>
      </c>
      <c r="L396" s="26"/>
      <c r="M396" s="27"/>
      <c r="N396" s="10"/>
      <c r="O396" s="10"/>
      <c r="P396" s="10"/>
      <c r="Q396" s="10"/>
      <c r="R396" s="7" t="str">
        <f ca="1">IF(B396="","",IF(Q396&lt;&gt;"",Q396,IF(H396&gt;TODAY(),"لم يبدأ بعد",IF(J396&lt;TODAY(),"منتهٍ",IF(J396-TODAY()&lt;='القوائم والإعدادات'!$E$2,"قريب الانتهاء","ساري")))))</f>
        <v/>
      </c>
      <c r="S396" s="7" t="str">
        <f t="shared" ca="1" si="18"/>
        <v/>
      </c>
      <c r="T396" s="7" t="str">
        <f ca="1">IF(OR(R396="ساري",R396="قريب الانتهاء"),IF(S396&lt;='القوائم والإعدادات'!$E$4,"عاجل",IF(S396&lt;='القوائم والإعدادات'!$E$3,"خلال 60 يوم",IF(S396&lt;='القوائم والإعدادات'!$E$2,"خلال 90 يوم",""))),"")</f>
        <v/>
      </c>
      <c r="U396" s="7" t="str">
        <f>IF(B396="","",COUNTIF(التمديدات!$A$2:$A$301,B396))</f>
        <v/>
      </c>
      <c r="V396" s="10"/>
      <c r="W396" s="10"/>
      <c r="X396" s="7" t="str">
        <f t="shared" si="19"/>
        <v/>
      </c>
    </row>
    <row r="397" spans="1:24">
      <c r="A397" s="7">
        <v>396</v>
      </c>
      <c r="B397" s="10"/>
      <c r="C397" s="10"/>
      <c r="D397" s="10"/>
      <c r="E397" s="10"/>
      <c r="F397" s="10"/>
      <c r="G397" s="11"/>
      <c r="H397" s="11"/>
      <c r="I397" s="11"/>
      <c r="J397" s="12" t="str">
        <f>IF(B397="","",MAX(I397,_xlfn.MAXIFS(التمديدات!$C$2:$C$301,التمديدات!$A$2:$A$301,B397)))</f>
        <v/>
      </c>
      <c r="K397" s="7" t="str">
        <f t="shared" si="20"/>
        <v/>
      </c>
      <c r="L397" s="26"/>
      <c r="M397" s="27"/>
      <c r="N397" s="10"/>
      <c r="O397" s="10"/>
      <c r="P397" s="10"/>
      <c r="Q397" s="10"/>
      <c r="R397" s="7" t="str">
        <f ca="1">IF(B397="","",IF(Q397&lt;&gt;"",Q397,IF(H397&gt;TODAY(),"لم يبدأ بعد",IF(J397&lt;TODAY(),"منتهٍ",IF(J397-TODAY()&lt;='القوائم والإعدادات'!$E$2,"قريب الانتهاء","ساري")))))</f>
        <v/>
      </c>
      <c r="S397" s="7" t="str">
        <f t="shared" ca="1" si="18"/>
        <v/>
      </c>
      <c r="T397" s="7" t="str">
        <f ca="1">IF(OR(R397="ساري",R397="قريب الانتهاء"),IF(S397&lt;='القوائم والإعدادات'!$E$4,"عاجل",IF(S397&lt;='القوائم والإعدادات'!$E$3,"خلال 60 يوم",IF(S397&lt;='القوائم والإعدادات'!$E$2,"خلال 90 يوم",""))),"")</f>
        <v/>
      </c>
      <c r="U397" s="7" t="str">
        <f>IF(B397="","",COUNTIF(التمديدات!$A$2:$A$301,B397))</f>
        <v/>
      </c>
      <c r="V397" s="10"/>
      <c r="W397" s="10"/>
      <c r="X397" s="7" t="str">
        <f t="shared" si="19"/>
        <v/>
      </c>
    </row>
    <row r="398" spans="1:24">
      <c r="A398" s="7">
        <v>397</v>
      </c>
      <c r="B398" s="10"/>
      <c r="C398" s="10"/>
      <c r="D398" s="10"/>
      <c r="E398" s="10"/>
      <c r="F398" s="10"/>
      <c r="G398" s="11"/>
      <c r="H398" s="11"/>
      <c r="I398" s="11"/>
      <c r="J398" s="12" t="str">
        <f>IF(B398="","",MAX(I398,_xlfn.MAXIFS(التمديدات!$C$2:$C$301,التمديدات!$A$2:$A$301,B398)))</f>
        <v/>
      </c>
      <c r="K398" s="7" t="str">
        <f t="shared" si="20"/>
        <v/>
      </c>
      <c r="L398" s="26"/>
      <c r="M398" s="27"/>
      <c r="N398" s="10"/>
      <c r="O398" s="10"/>
      <c r="P398" s="10"/>
      <c r="Q398" s="10"/>
      <c r="R398" s="7" t="str">
        <f ca="1">IF(B398="","",IF(Q398&lt;&gt;"",Q398,IF(H398&gt;TODAY(),"لم يبدأ بعد",IF(J398&lt;TODAY(),"منتهٍ",IF(J398-TODAY()&lt;='القوائم والإعدادات'!$E$2,"قريب الانتهاء","ساري")))))</f>
        <v/>
      </c>
      <c r="S398" s="7" t="str">
        <f t="shared" ca="1" si="18"/>
        <v/>
      </c>
      <c r="T398" s="7" t="str">
        <f ca="1">IF(OR(R398="ساري",R398="قريب الانتهاء"),IF(S398&lt;='القوائم والإعدادات'!$E$4,"عاجل",IF(S398&lt;='القوائم والإعدادات'!$E$3,"خلال 60 يوم",IF(S398&lt;='القوائم والإعدادات'!$E$2,"خلال 90 يوم",""))),"")</f>
        <v/>
      </c>
      <c r="U398" s="7" t="str">
        <f>IF(B398="","",COUNTIF(التمديدات!$A$2:$A$301,B398))</f>
        <v/>
      </c>
      <c r="V398" s="10"/>
      <c r="W398" s="10"/>
      <c r="X398" s="7" t="str">
        <f t="shared" si="19"/>
        <v/>
      </c>
    </row>
    <row r="399" spans="1:24">
      <c r="A399" s="7">
        <v>398</v>
      </c>
      <c r="B399" s="10"/>
      <c r="C399" s="10"/>
      <c r="D399" s="10"/>
      <c r="E399" s="10"/>
      <c r="F399" s="10"/>
      <c r="G399" s="11"/>
      <c r="H399" s="11"/>
      <c r="I399" s="11"/>
      <c r="J399" s="12" t="str">
        <f>IF(B399="","",MAX(I399,_xlfn.MAXIFS(التمديدات!$C$2:$C$301,التمديدات!$A$2:$A$301,B399)))</f>
        <v/>
      </c>
      <c r="K399" s="7" t="str">
        <f t="shared" si="20"/>
        <v/>
      </c>
      <c r="L399" s="26"/>
      <c r="M399" s="27"/>
      <c r="N399" s="10"/>
      <c r="O399" s="10"/>
      <c r="P399" s="10"/>
      <c r="Q399" s="10"/>
      <c r="R399" s="7" t="str">
        <f ca="1">IF(B399="","",IF(Q399&lt;&gt;"",Q399,IF(H399&gt;TODAY(),"لم يبدأ بعد",IF(J399&lt;TODAY(),"منتهٍ",IF(J399-TODAY()&lt;='القوائم والإعدادات'!$E$2,"قريب الانتهاء","ساري")))))</f>
        <v/>
      </c>
      <c r="S399" s="7" t="str">
        <f t="shared" ca="1" si="18"/>
        <v/>
      </c>
      <c r="T399" s="7" t="str">
        <f ca="1">IF(OR(R399="ساري",R399="قريب الانتهاء"),IF(S399&lt;='القوائم والإعدادات'!$E$4,"عاجل",IF(S399&lt;='القوائم والإعدادات'!$E$3,"خلال 60 يوم",IF(S399&lt;='القوائم والإعدادات'!$E$2,"خلال 90 يوم",""))),"")</f>
        <v/>
      </c>
      <c r="U399" s="7" t="str">
        <f>IF(B399="","",COUNTIF(التمديدات!$A$2:$A$301,B399))</f>
        <v/>
      </c>
      <c r="V399" s="10"/>
      <c r="W399" s="10"/>
      <c r="X399" s="7" t="str">
        <f t="shared" si="19"/>
        <v/>
      </c>
    </row>
    <row r="400" spans="1:24">
      <c r="A400" s="7">
        <v>399</v>
      </c>
      <c r="B400" s="10"/>
      <c r="C400" s="10"/>
      <c r="D400" s="10"/>
      <c r="E400" s="10"/>
      <c r="F400" s="10"/>
      <c r="G400" s="11"/>
      <c r="H400" s="11"/>
      <c r="I400" s="11"/>
      <c r="J400" s="12" t="str">
        <f>IF(B400="","",MAX(I400,_xlfn.MAXIFS(التمديدات!$C$2:$C$301,التمديدات!$A$2:$A$301,B400)))</f>
        <v/>
      </c>
      <c r="K400" s="7" t="str">
        <f t="shared" si="20"/>
        <v/>
      </c>
      <c r="L400" s="26"/>
      <c r="M400" s="27"/>
      <c r="N400" s="10"/>
      <c r="O400" s="10"/>
      <c r="P400" s="10"/>
      <c r="Q400" s="10"/>
      <c r="R400" s="7" t="str">
        <f ca="1">IF(B400="","",IF(Q400&lt;&gt;"",Q400,IF(H400&gt;TODAY(),"لم يبدأ بعد",IF(J400&lt;TODAY(),"منتهٍ",IF(J400-TODAY()&lt;='القوائم والإعدادات'!$E$2,"قريب الانتهاء","ساري")))))</f>
        <v/>
      </c>
      <c r="S400" s="7" t="str">
        <f t="shared" ca="1" si="18"/>
        <v/>
      </c>
      <c r="T400" s="7" t="str">
        <f ca="1">IF(OR(R400="ساري",R400="قريب الانتهاء"),IF(S400&lt;='القوائم والإعدادات'!$E$4,"عاجل",IF(S400&lt;='القوائم والإعدادات'!$E$3,"خلال 60 يوم",IF(S400&lt;='القوائم والإعدادات'!$E$2,"خلال 90 يوم",""))),"")</f>
        <v/>
      </c>
      <c r="U400" s="7" t="str">
        <f>IF(B400="","",COUNTIF(التمديدات!$A$2:$A$301,B400))</f>
        <v/>
      </c>
      <c r="V400" s="10"/>
      <c r="W400" s="10"/>
      <c r="X400" s="7" t="str">
        <f t="shared" si="19"/>
        <v/>
      </c>
    </row>
    <row r="401" spans="1:24">
      <c r="A401" s="7">
        <v>400</v>
      </c>
      <c r="B401" s="10"/>
      <c r="C401" s="10"/>
      <c r="D401" s="10"/>
      <c r="E401" s="10"/>
      <c r="F401" s="10"/>
      <c r="G401" s="11"/>
      <c r="H401" s="11"/>
      <c r="I401" s="11"/>
      <c r="J401" s="12" t="str">
        <f>IF(B401="","",MAX(I401,_xlfn.MAXIFS(التمديدات!$C$2:$C$301,التمديدات!$A$2:$A$301,B401)))</f>
        <v/>
      </c>
      <c r="K401" s="7" t="str">
        <f t="shared" si="20"/>
        <v/>
      </c>
      <c r="L401" s="26"/>
      <c r="M401" s="27"/>
      <c r="N401" s="10"/>
      <c r="O401" s="10"/>
      <c r="P401" s="10"/>
      <c r="Q401" s="10"/>
      <c r="R401" s="7" t="str">
        <f ca="1">IF(B401="","",IF(Q401&lt;&gt;"",Q401,IF(H401&gt;TODAY(),"لم يبدأ بعد",IF(J401&lt;TODAY(),"منتهٍ",IF(J401-TODAY()&lt;='القوائم والإعدادات'!$E$2,"قريب الانتهاء","ساري")))))</f>
        <v/>
      </c>
      <c r="S401" s="7" t="str">
        <f t="shared" ca="1" si="18"/>
        <v/>
      </c>
      <c r="T401" s="7" t="str">
        <f ca="1">IF(OR(R401="ساري",R401="قريب الانتهاء"),IF(S401&lt;='القوائم والإعدادات'!$E$4,"عاجل",IF(S401&lt;='القوائم والإعدادات'!$E$3,"خلال 60 يوم",IF(S401&lt;='القوائم والإعدادات'!$E$2,"خلال 90 يوم",""))),"")</f>
        <v/>
      </c>
      <c r="U401" s="7" t="str">
        <f>IF(B401="","",COUNTIF(التمديدات!$A$2:$A$301,B401))</f>
        <v/>
      </c>
      <c r="V401" s="10"/>
      <c r="W401" s="10"/>
      <c r="X401" s="7" t="str">
        <f t="shared" si="19"/>
        <v/>
      </c>
    </row>
    <row r="402" spans="1:24">
      <c r="A402" s="7">
        <v>401</v>
      </c>
      <c r="B402" s="10"/>
      <c r="C402" s="10"/>
      <c r="D402" s="10"/>
      <c r="E402" s="10"/>
      <c r="F402" s="10"/>
      <c r="G402" s="11"/>
      <c r="H402" s="11"/>
      <c r="I402" s="11"/>
      <c r="J402" s="12" t="str">
        <f>IF(B402="","",MAX(I402,_xlfn.MAXIFS(التمديدات!$C$2:$C$301,التمديدات!$A$2:$A$301,B402)))</f>
        <v/>
      </c>
      <c r="K402" s="7" t="str">
        <f t="shared" si="20"/>
        <v/>
      </c>
      <c r="L402" s="26"/>
      <c r="M402" s="27"/>
      <c r="N402" s="10"/>
      <c r="O402" s="10"/>
      <c r="P402" s="10"/>
      <c r="Q402" s="10"/>
      <c r="R402" s="7" t="str">
        <f ca="1">IF(B402="","",IF(Q402&lt;&gt;"",Q402,IF(H402&gt;TODAY(),"لم يبدأ بعد",IF(J402&lt;TODAY(),"منتهٍ",IF(J402-TODAY()&lt;='القوائم والإعدادات'!$E$2,"قريب الانتهاء","ساري")))))</f>
        <v/>
      </c>
      <c r="S402" s="7" t="str">
        <f t="shared" ref="S402:S465" ca="1" si="21">IF(B402="","",J402-TODAY())</f>
        <v/>
      </c>
      <c r="T402" s="7" t="str">
        <f ca="1">IF(OR(R402="ساري",R402="قريب الانتهاء"),IF(S402&lt;='القوائم والإعدادات'!$E$4,"عاجل",IF(S402&lt;='القوائم والإعدادات'!$E$3,"خلال 60 يوم",IF(S402&lt;='القوائم والإعدادات'!$E$2,"خلال 90 يوم",""))),"")</f>
        <v/>
      </c>
      <c r="U402" s="7" t="str">
        <f>IF(B402="","",COUNTIF(التمديدات!$A$2:$A$301,B402))</f>
        <v/>
      </c>
      <c r="V402" s="10"/>
      <c r="W402" s="10"/>
      <c r="X402" s="7" t="str">
        <f t="shared" ref="X402:X465" si="22">IF(B402="","",IF(COUNTIFS($B$2:$B$501,B402,$D$2:$D$501,D402)&gt;1,"مكرر!",""))</f>
        <v/>
      </c>
    </row>
    <row r="403" spans="1:24">
      <c r="A403" s="7">
        <v>402</v>
      </c>
      <c r="B403" s="10"/>
      <c r="C403" s="10"/>
      <c r="D403" s="10"/>
      <c r="E403" s="10"/>
      <c r="F403" s="10"/>
      <c r="G403" s="11"/>
      <c r="H403" s="11"/>
      <c r="I403" s="11"/>
      <c r="J403" s="12" t="str">
        <f>IF(B403="","",MAX(I403,_xlfn.MAXIFS(التمديدات!$C$2:$C$301,التمديدات!$A$2:$A$301,B403)))</f>
        <v/>
      </c>
      <c r="K403" s="7" t="str">
        <f t="shared" si="20"/>
        <v/>
      </c>
      <c r="L403" s="26"/>
      <c r="M403" s="27"/>
      <c r="N403" s="10"/>
      <c r="O403" s="10"/>
      <c r="P403" s="10"/>
      <c r="Q403" s="10"/>
      <c r="R403" s="7" t="str">
        <f ca="1">IF(B403="","",IF(Q403&lt;&gt;"",Q403,IF(H403&gt;TODAY(),"لم يبدأ بعد",IF(J403&lt;TODAY(),"منتهٍ",IF(J403-TODAY()&lt;='القوائم والإعدادات'!$E$2,"قريب الانتهاء","ساري")))))</f>
        <v/>
      </c>
      <c r="S403" s="7" t="str">
        <f t="shared" ca="1" si="21"/>
        <v/>
      </c>
      <c r="T403" s="7" t="str">
        <f ca="1">IF(OR(R403="ساري",R403="قريب الانتهاء"),IF(S403&lt;='القوائم والإعدادات'!$E$4,"عاجل",IF(S403&lt;='القوائم والإعدادات'!$E$3,"خلال 60 يوم",IF(S403&lt;='القوائم والإعدادات'!$E$2,"خلال 90 يوم",""))),"")</f>
        <v/>
      </c>
      <c r="U403" s="7" t="str">
        <f>IF(B403="","",COUNTIF(التمديدات!$A$2:$A$301,B403))</f>
        <v/>
      </c>
      <c r="V403" s="10"/>
      <c r="W403" s="10"/>
      <c r="X403" s="7" t="str">
        <f t="shared" si="22"/>
        <v/>
      </c>
    </row>
    <row r="404" spans="1:24">
      <c r="A404" s="7">
        <v>403</v>
      </c>
      <c r="B404" s="10"/>
      <c r="C404" s="10"/>
      <c r="D404" s="10"/>
      <c r="E404" s="10"/>
      <c r="F404" s="10"/>
      <c r="G404" s="11"/>
      <c r="H404" s="11"/>
      <c r="I404" s="11"/>
      <c r="J404" s="12" t="str">
        <f>IF(B404="","",MAX(I404,_xlfn.MAXIFS(التمديدات!$C$2:$C$301,التمديدات!$A$2:$A$301,B404)))</f>
        <v/>
      </c>
      <c r="K404" s="7" t="str">
        <f t="shared" si="20"/>
        <v/>
      </c>
      <c r="L404" s="26"/>
      <c r="M404" s="27"/>
      <c r="N404" s="10"/>
      <c r="O404" s="10"/>
      <c r="P404" s="10"/>
      <c r="Q404" s="10"/>
      <c r="R404" s="7" t="str">
        <f ca="1">IF(B404="","",IF(Q404&lt;&gt;"",Q404,IF(H404&gt;TODAY(),"لم يبدأ بعد",IF(J404&lt;TODAY(),"منتهٍ",IF(J404-TODAY()&lt;='القوائم والإعدادات'!$E$2,"قريب الانتهاء","ساري")))))</f>
        <v/>
      </c>
      <c r="S404" s="7" t="str">
        <f t="shared" ca="1" si="21"/>
        <v/>
      </c>
      <c r="T404" s="7" t="str">
        <f ca="1">IF(OR(R404="ساري",R404="قريب الانتهاء"),IF(S404&lt;='القوائم والإعدادات'!$E$4,"عاجل",IF(S404&lt;='القوائم والإعدادات'!$E$3,"خلال 60 يوم",IF(S404&lt;='القوائم والإعدادات'!$E$2,"خلال 90 يوم",""))),"")</f>
        <v/>
      </c>
      <c r="U404" s="7" t="str">
        <f>IF(B404="","",COUNTIF(التمديدات!$A$2:$A$301,B404))</f>
        <v/>
      </c>
      <c r="V404" s="10"/>
      <c r="W404" s="10"/>
      <c r="X404" s="7" t="str">
        <f t="shared" si="22"/>
        <v/>
      </c>
    </row>
    <row r="405" spans="1:24">
      <c r="A405" s="7">
        <v>404</v>
      </c>
      <c r="B405" s="10"/>
      <c r="C405" s="10"/>
      <c r="D405" s="10"/>
      <c r="E405" s="10"/>
      <c r="F405" s="10"/>
      <c r="G405" s="11"/>
      <c r="H405" s="11"/>
      <c r="I405" s="11"/>
      <c r="J405" s="12" t="str">
        <f>IF(B405="","",MAX(I405,_xlfn.MAXIFS(التمديدات!$C$2:$C$301,التمديدات!$A$2:$A$301,B405)))</f>
        <v/>
      </c>
      <c r="K405" s="7" t="str">
        <f t="shared" si="20"/>
        <v/>
      </c>
      <c r="L405" s="26"/>
      <c r="M405" s="27"/>
      <c r="N405" s="10"/>
      <c r="O405" s="10"/>
      <c r="P405" s="10"/>
      <c r="Q405" s="10"/>
      <c r="R405" s="7" t="str">
        <f ca="1">IF(B405="","",IF(Q405&lt;&gt;"",Q405,IF(H405&gt;TODAY(),"لم يبدأ بعد",IF(J405&lt;TODAY(),"منتهٍ",IF(J405-TODAY()&lt;='القوائم والإعدادات'!$E$2,"قريب الانتهاء","ساري")))))</f>
        <v/>
      </c>
      <c r="S405" s="7" t="str">
        <f t="shared" ca="1" si="21"/>
        <v/>
      </c>
      <c r="T405" s="7" t="str">
        <f ca="1">IF(OR(R405="ساري",R405="قريب الانتهاء"),IF(S405&lt;='القوائم والإعدادات'!$E$4,"عاجل",IF(S405&lt;='القوائم والإعدادات'!$E$3,"خلال 60 يوم",IF(S405&lt;='القوائم والإعدادات'!$E$2,"خلال 90 يوم",""))),"")</f>
        <v/>
      </c>
      <c r="U405" s="7" t="str">
        <f>IF(B405="","",COUNTIF(التمديدات!$A$2:$A$301,B405))</f>
        <v/>
      </c>
      <c r="V405" s="10"/>
      <c r="W405" s="10"/>
      <c r="X405" s="7" t="str">
        <f t="shared" si="22"/>
        <v/>
      </c>
    </row>
    <row r="406" spans="1:24">
      <c r="A406" s="7">
        <v>405</v>
      </c>
      <c r="B406" s="10"/>
      <c r="C406" s="10"/>
      <c r="D406" s="10"/>
      <c r="E406" s="10"/>
      <c r="F406" s="10"/>
      <c r="G406" s="11"/>
      <c r="H406" s="11"/>
      <c r="I406" s="11"/>
      <c r="J406" s="12" t="str">
        <f>IF(B406="","",MAX(I406,_xlfn.MAXIFS(التمديدات!$C$2:$C$301,التمديدات!$A$2:$A$301,B406)))</f>
        <v/>
      </c>
      <c r="K406" s="7" t="str">
        <f t="shared" si="20"/>
        <v/>
      </c>
      <c r="L406" s="26"/>
      <c r="M406" s="27"/>
      <c r="N406" s="10"/>
      <c r="O406" s="10"/>
      <c r="P406" s="10"/>
      <c r="Q406" s="10"/>
      <c r="R406" s="7" t="str">
        <f ca="1">IF(B406="","",IF(Q406&lt;&gt;"",Q406,IF(H406&gt;TODAY(),"لم يبدأ بعد",IF(J406&lt;TODAY(),"منتهٍ",IF(J406-TODAY()&lt;='القوائم والإعدادات'!$E$2,"قريب الانتهاء","ساري")))))</f>
        <v/>
      </c>
      <c r="S406" s="7" t="str">
        <f t="shared" ca="1" si="21"/>
        <v/>
      </c>
      <c r="T406" s="7" t="str">
        <f ca="1">IF(OR(R406="ساري",R406="قريب الانتهاء"),IF(S406&lt;='القوائم والإعدادات'!$E$4,"عاجل",IF(S406&lt;='القوائم والإعدادات'!$E$3,"خلال 60 يوم",IF(S406&lt;='القوائم والإعدادات'!$E$2,"خلال 90 يوم",""))),"")</f>
        <v/>
      </c>
      <c r="U406" s="7" t="str">
        <f>IF(B406="","",COUNTIF(التمديدات!$A$2:$A$301,B406))</f>
        <v/>
      </c>
      <c r="V406" s="10"/>
      <c r="W406" s="10"/>
      <c r="X406" s="7" t="str">
        <f t="shared" si="22"/>
        <v/>
      </c>
    </row>
    <row r="407" spans="1:24">
      <c r="A407" s="7">
        <v>406</v>
      </c>
      <c r="B407" s="10"/>
      <c r="C407" s="10"/>
      <c r="D407" s="10"/>
      <c r="E407" s="10"/>
      <c r="F407" s="10"/>
      <c r="G407" s="11"/>
      <c r="H407" s="11"/>
      <c r="I407" s="11"/>
      <c r="J407" s="12" t="str">
        <f>IF(B407="","",MAX(I407,_xlfn.MAXIFS(التمديدات!$C$2:$C$301,التمديدات!$A$2:$A$301,B407)))</f>
        <v/>
      </c>
      <c r="K407" s="7" t="str">
        <f t="shared" si="20"/>
        <v/>
      </c>
      <c r="L407" s="26"/>
      <c r="M407" s="27"/>
      <c r="N407" s="10"/>
      <c r="O407" s="10"/>
      <c r="P407" s="10"/>
      <c r="Q407" s="10"/>
      <c r="R407" s="7" t="str">
        <f ca="1">IF(B407="","",IF(Q407&lt;&gt;"",Q407,IF(H407&gt;TODAY(),"لم يبدأ بعد",IF(J407&lt;TODAY(),"منتهٍ",IF(J407-TODAY()&lt;='القوائم والإعدادات'!$E$2,"قريب الانتهاء","ساري")))))</f>
        <v/>
      </c>
      <c r="S407" s="7" t="str">
        <f t="shared" ca="1" si="21"/>
        <v/>
      </c>
      <c r="T407" s="7" t="str">
        <f ca="1">IF(OR(R407="ساري",R407="قريب الانتهاء"),IF(S407&lt;='القوائم والإعدادات'!$E$4,"عاجل",IF(S407&lt;='القوائم والإعدادات'!$E$3,"خلال 60 يوم",IF(S407&lt;='القوائم والإعدادات'!$E$2,"خلال 90 يوم",""))),"")</f>
        <v/>
      </c>
      <c r="U407" s="7" t="str">
        <f>IF(B407="","",COUNTIF(التمديدات!$A$2:$A$301,B407))</f>
        <v/>
      </c>
      <c r="V407" s="10"/>
      <c r="W407" s="10"/>
      <c r="X407" s="7" t="str">
        <f t="shared" si="22"/>
        <v/>
      </c>
    </row>
    <row r="408" spans="1:24">
      <c r="A408" s="7">
        <v>407</v>
      </c>
      <c r="B408" s="10"/>
      <c r="C408" s="10"/>
      <c r="D408" s="10"/>
      <c r="E408" s="10"/>
      <c r="F408" s="10"/>
      <c r="G408" s="11"/>
      <c r="H408" s="11"/>
      <c r="I408" s="11"/>
      <c r="J408" s="12" t="str">
        <f>IF(B408="","",MAX(I408,_xlfn.MAXIFS(التمديدات!$C$2:$C$301,التمديدات!$A$2:$A$301,B408)))</f>
        <v/>
      </c>
      <c r="K408" s="7" t="str">
        <f t="shared" si="20"/>
        <v/>
      </c>
      <c r="L408" s="26"/>
      <c r="M408" s="27"/>
      <c r="N408" s="10"/>
      <c r="O408" s="10"/>
      <c r="P408" s="10"/>
      <c r="Q408" s="10"/>
      <c r="R408" s="7" t="str">
        <f ca="1">IF(B408="","",IF(Q408&lt;&gt;"",Q408,IF(H408&gt;TODAY(),"لم يبدأ بعد",IF(J408&lt;TODAY(),"منتهٍ",IF(J408-TODAY()&lt;='القوائم والإعدادات'!$E$2,"قريب الانتهاء","ساري")))))</f>
        <v/>
      </c>
      <c r="S408" s="7" t="str">
        <f t="shared" ca="1" si="21"/>
        <v/>
      </c>
      <c r="T408" s="7" t="str">
        <f ca="1">IF(OR(R408="ساري",R408="قريب الانتهاء"),IF(S408&lt;='القوائم والإعدادات'!$E$4,"عاجل",IF(S408&lt;='القوائم والإعدادات'!$E$3,"خلال 60 يوم",IF(S408&lt;='القوائم والإعدادات'!$E$2,"خلال 90 يوم",""))),"")</f>
        <v/>
      </c>
      <c r="U408" s="7" t="str">
        <f>IF(B408="","",COUNTIF(التمديدات!$A$2:$A$301,B408))</f>
        <v/>
      </c>
      <c r="V408" s="10"/>
      <c r="W408" s="10"/>
      <c r="X408" s="7" t="str">
        <f t="shared" si="22"/>
        <v/>
      </c>
    </row>
    <row r="409" spans="1:24">
      <c r="A409" s="7">
        <v>408</v>
      </c>
      <c r="B409" s="10"/>
      <c r="C409" s="10"/>
      <c r="D409" s="10"/>
      <c r="E409" s="10"/>
      <c r="F409" s="10"/>
      <c r="G409" s="11"/>
      <c r="H409" s="11"/>
      <c r="I409" s="11"/>
      <c r="J409" s="12" t="str">
        <f>IF(B409="","",MAX(I409,_xlfn.MAXIFS(التمديدات!$C$2:$C$301,التمديدات!$A$2:$A$301,B409)))</f>
        <v/>
      </c>
      <c r="K409" s="7" t="str">
        <f t="shared" si="20"/>
        <v/>
      </c>
      <c r="L409" s="26"/>
      <c r="M409" s="27"/>
      <c r="N409" s="10"/>
      <c r="O409" s="10"/>
      <c r="P409" s="10"/>
      <c r="Q409" s="10"/>
      <c r="R409" s="7" t="str">
        <f ca="1">IF(B409="","",IF(Q409&lt;&gt;"",Q409,IF(H409&gt;TODAY(),"لم يبدأ بعد",IF(J409&lt;TODAY(),"منتهٍ",IF(J409-TODAY()&lt;='القوائم والإعدادات'!$E$2,"قريب الانتهاء","ساري")))))</f>
        <v/>
      </c>
      <c r="S409" s="7" t="str">
        <f t="shared" ca="1" si="21"/>
        <v/>
      </c>
      <c r="T409" s="7" t="str">
        <f ca="1">IF(OR(R409="ساري",R409="قريب الانتهاء"),IF(S409&lt;='القوائم والإعدادات'!$E$4,"عاجل",IF(S409&lt;='القوائم والإعدادات'!$E$3,"خلال 60 يوم",IF(S409&lt;='القوائم والإعدادات'!$E$2,"خلال 90 يوم",""))),"")</f>
        <v/>
      </c>
      <c r="U409" s="7" t="str">
        <f>IF(B409="","",COUNTIF(التمديدات!$A$2:$A$301,B409))</f>
        <v/>
      </c>
      <c r="V409" s="10"/>
      <c r="W409" s="10"/>
      <c r="X409" s="7" t="str">
        <f t="shared" si="22"/>
        <v/>
      </c>
    </row>
    <row r="410" spans="1:24">
      <c r="A410" s="7">
        <v>409</v>
      </c>
      <c r="B410" s="10"/>
      <c r="C410" s="10"/>
      <c r="D410" s="10"/>
      <c r="E410" s="10"/>
      <c r="F410" s="10"/>
      <c r="G410" s="11"/>
      <c r="H410" s="11"/>
      <c r="I410" s="11"/>
      <c r="J410" s="12" t="str">
        <f>IF(B410="","",MAX(I410,_xlfn.MAXIFS(التمديدات!$C$2:$C$301,التمديدات!$A$2:$A$301,B410)))</f>
        <v/>
      </c>
      <c r="K410" s="7" t="str">
        <f t="shared" si="20"/>
        <v/>
      </c>
      <c r="L410" s="26"/>
      <c r="M410" s="27"/>
      <c r="N410" s="10"/>
      <c r="O410" s="10"/>
      <c r="P410" s="10"/>
      <c r="Q410" s="10"/>
      <c r="R410" s="7" t="str">
        <f ca="1">IF(B410="","",IF(Q410&lt;&gt;"",Q410,IF(H410&gt;TODAY(),"لم يبدأ بعد",IF(J410&lt;TODAY(),"منتهٍ",IF(J410-TODAY()&lt;='القوائم والإعدادات'!$E$2,"قريب الانتهاء","ساري")))))</f>
        <v/>
      </c>
      <c r="S410" s="7" t="str">
        <f t="shared" ca="1" si="21"/>
        <v/>
      </c>
      <c r="T410" s="7" t="str">
        <f ca="1">IF(OR(R410="ساري",R410="قريب الانتهاء"),IF(S410&lt;='القوائم والإعدادات'!$E$4,"عاجل",IF(S410&lt;='القوائم والإعدادات'!$E$3,"خلال 60 يوم",IF(S410&lt;='القوائم والإعدادات'!$E$2,"خلال 90 يوم",""))),"")</f>
        <v/>
      </c>
      <c r="U410" s="7" t="str">
        <f>IF(B410="","",COUNTIF(التمديدات!$A$2:$A$301,B410))</f>
        <v/>
      </c>
      <c r="V410" s="10"/>
      <c r="W410" s="10"/>
      <c r="X410" s="7" t="str">
        <f t="shared" si="22"/>
        <v/>
      </c>
    </row>
    <row r="411" spans="1:24">
      <c r="A411" s="7">
        <v>410</v>
      </c>
      <c r="B411" s="10"/>
      <c r="C411" s="10"/>
      <c r="D411" s="10"/>
      <c r="E411" s="10"/>
      <c r="F411" s="10"/>
      <c r="G411" s="11"/>
      <c r="H411" s="11"/>
      <c r="I411" s="11"/>
      <c r="J411" s="12" t="str">
        <f>IF(B411="","",MAX(I411,_xlfn.MAXIFS(التمديدات!$C$2:$C$301,التمديدات!$A$2:$A$301,B411)))</f>
        <v/>
      </c>
      <c r="K411" s="7" t="str">
        <f t="shared" si="20"/>
        <v/>
      </c>
      <c r="L411" s="26"/>
      <c r="M411" s="27"/>
      <c r="N411" s="10"/>
      <c r="O411" s="10"/>
      <c r="P411" s="10"/>
      <c r="Q411" s="10"/>
      <c r="R411" s="7" t="str">
        <f ca="1">IF(B411="","",IF(Q411&lt;&gt;"",Q411,IF(H411&gt;TODAY(),"لم يبدأ بعد",IF(J411&lt;TODAY(),"منتهٍ",IF(J411-TODAY()&lt;='القوائم والإعدادات'!$E$2,"قريب الانتهاء","ساري")))))</f>
        <v/>
      </c>
      <c r="S411" s="7" t="str">
        <f t="shared" ca="1" si="21"/>
        <v/>
      </c>
      <c r="T411" s="7" t="str">
        <f ca="1">IF(OR(R411="ساري",R411="قريب الانتهاء"),IF(S411&lt;='القوائم والإعدادات'!$E$4,"عاجل",IF(S411&lt;='القوائم والإعدادات'!$E$3,"خلال 60 يوم",IF(S411&lt;='القوائم والإعدادات'!$E$2,"خلال 90 يوم",""))),"")</f>
        <v/>
      </c>
      <c r="U411" s="7" t="str">
        <f>IF(B411="","",COUNTIF(التمديدات!$A$2:$A$301,B411))</f>
        <v/>
      </c>
      <c r="V411" s="10"/>
      <c r="W411" s="10"/>
      <c r="X411" s="7" t="str">
        <f t="shared" si="22"/>
        <v/>
      </c>
    </row>
    <row r="412" spans="1:24">
      <c r="A412" s="7">
        <v>411</v>
      </c>
      <c r="B412" s="10"/>
      <c r="C412" s="10"/>
      <c r="D412" s="10"/>
      <c r="E412" s="10"/>
      <c r="F412" s="10"/>
      <c r="G412" s="11"/>
      <c r="H412" s="11"/>
      <c r="I412" s="11"/>
      <c r="J412" s="12" t="str">
        <f>IF(B412="","",MAX(I412,_xlfn.MAXIFS(التمديدات!$C$2:$C$301,التمديدات!$A$2:$A$301,B412)))</f>
        <v/>
      </c>
      <c r="K412" s="7" t="str">
        <f t="shared" si="20"/>
        <v/>
      </c>
      <c r="L412" s="26"/>
      <c r="M412" s="27"/>
      <c r="N412" s="10"/>
      <c r="O412" s="10"/>
      <c r="P412" s="10"/>
      <c r="Q412" s="10"/>
      <c r="R412" s="7" t="str">
        <f ca="1">IF(B412="","",IF(Q412&lt;&gt;"",Q412,IF(H412&gt;TODAY(),"لم يبدأ بعد",IF(J412&lt;TODAY(),"منتهٍ",IF(J412-TODAY()&lt;='القوائم والإعدادات'!$E$2,"قريب الانتهاء","ساري")))))</f>
        <v/>
      </c>
      <c r="S412" s="7" t="str">
        <f t="shared" ca="1" si="21"/>
        <v/>
      </c>
      <c r="T412" s="7" t="str">
        <f ca="1">IF(OR(R412="ساري",R412="قريب الانتهاء"),IF(S412&lt;='القوائم والإعدادات'!$E$4,"عاجل",IF(S412&lt;='القوائم والإعدادات'!$E$3,"خلال 60 يوم",IF(S412&lt;='القوائم والإعدادات'!$E$2,"خلال 90 يوم",""))),"")</f>
        <v/>
      </c>
      <c r="U412" s="7" t="str">
        <f>IF(B412="","",COUNTIF(التمديدات!$A$2:$A$301,B412))</f>
        <v/>
      </c>
      <c r="V412" s="10"/>
      <c r="W412" s="10"/>
      <c r="X412" s="7" t="str">
        <f t="shared" si="22"/>
        <v/>
      </c>
    </row>
    <row r="413" spans="1:24">
      <c r="A413" s="7">
        <v>412</v>
      </c>
      <c r="B413" s="10"/>
      <c r="C413" s="10"/>
      <c r="D413" s="10"/>
      <c r="E413" s="10"/>
      <c r="F413" s="10"/>
      <c r="G413" s="11"/>
      <c r="H413" s="11"/>
      <c r="I413" s="11"/>
      <c r="J413" s="12" t="str">
        <f>IF(B413="","",MAX(I413,_xlfn.MAXIFS(التمديدات!$C$2:$C$301,التمديدات!$A$2:$A$301,B413)))</f>
        <v/>
      </c>
      <c r="K413" s="7" t="str">
        <f t="shared" si="20"/>
        <v/>
      </c>
      <c r="L413" s="26"/>
      <c r="M413" s="27"/>
      <c r="N413" s="10"/>
      <c r="O413" s="10"/>
      <c r="P413" s="10"/>
      <c r="Q413" s="10"/>
      <c r="R413" s="7" t="str">
        <f ca="1">IF(B413="","",IF(Q413&lt;&gt;"",Q413,IF(H413&gt;TODAY(),"لم يبدأ بعد",IF(J413&lt;TODAY(),"منتهٍ",IF(J413-TODAY()&lt;='القوائم والإعدادات'!$E$2,"قريب الانتهاء","ساري")))))</f>
        <v/>
      </c>
      <c r="S413" s="7" t="str">
        <f t="shared" ca="1" si="21"/>
        <v/>
      </c>
      <c r="T413" s="7" t="str">
        <f ca="1">IF(OR(R413="ساري",R413="قريب الانتهاء"),IF(S413&lt;='القوائم والإعدادات'!$E$4,"عاجل",IF(S413&lt;='القوائم والإعدادات'!$E$3,"خلال 60 يوم",IF(S413&lt;='القوائم والإعدادات'!$E$2,"خلال 90 يوم",""))),"")</f>
        <v/>
      </c>
      <c r="U413" s="7" t="str">
        <f>IF(B413="","",COUNTIF(التمديدات!$A$2:$A$301,B413))</f>
        <v/>
      </c>
      <c r="V413" s="10"/>
      <c r="W413" s="10"/>
      <c r="X413" s="7" t="str">
        <f t="shared" si="22"/>
        <v/>
      </c>
    </row>
    <row r="414" spans="1:24">
      <c r="A414" s="7">
        <v>413</v>
      </c>
      <c r="B414" s="10"/>
      <c r="C414" s="10"/>
      <c r="D414" s="10"/>
      <c r="E414" s="10"/>
      <c r="F414" s="10"/>
      <c r="G414" s="11"/>
      <c r="H414" s="11"/>
      <c r="I414" s="11"/>
      <c r="J414" s="12" t="str">
        <f>IF(B414="","",MAX(I414,_xlfn.MAXIFS(التمديدات!$C$2:$C$301,التمديدات!$A$2:$A$301,B414)))</f>
        <v/>
      </c>
      <c r="K414" s="7" t="str">
        <f t="shared" si="20"/>
        <v/>
      </c>
      <c r="L414" s="26"/>
      <c r="M414" s="27"/>
      <c r="N414" s="10"/>
      <c r="O414" s="10"/>
      <c r="P414" s="10"/>
      <c r="Q414" s="10"/>
      <c r="R414" s="7" t="str">
        <f ca="1">IF(B414="","",IF(Q414&lt;&gt;"",Q414,IF(H414&gt;TODAY(),"لم يبدأ بعد",IF(J414&lt;TODAY(),"منتهٍ",IF(J414-TODAY()&lt;='القوائم والإعدادات'!$E$2,"قريب الانتهاء","ساري")))))</f>
        <v/>
      </c>
      <c r="S414" s="7" t="str">
        <f t="shared" ca="1" si="21"/>
        <v/>
      </c>
      <c r="T414" s="7" t="str">
        <f ca="1">IF(OR(R414="ساري",R414="قريب الانتهاء"),IF(S414&lt;='القوائم والإعدادات'!$E$4,"عاجل",IF(S414&lt;='القوائم والإعدادات'!$E$3,"خلال 60 يوم",IF(S414&lt;='القوائم والإعدادات'!$E$2,"خلال 90 يوم",""))),"")</f>
        <v/>
      </c>
      <c r="U414" s="7" t="str">
        <f>IF(B414="","",COUNTIF(التمديدات!$A$2:$A$301,B414))</f>
        <v/>
      </c>
      <c r="V414" s="10"/>
      <c r="W414" s="10"/>
      <c r="X414" s="7" t="str">
        <f t="shared" si="22"/>
        <v/>
      </c>
    </row>
    <row r="415" spans="1:24">
      <c r="A415" s="7">
        <v>414</v>
      </c>
      <c r="B415" s="10"/>
      <c r="C415" s="10"/>
      <c r="D415" s="10"/>
      <c r="E415" s="10"/>
      <c r="F415" s="10"/>
      <c r="G415" s="11"/>
      <c r="H415" s="11"/>
      <c r="I415" s="11"/>
      <c r="J415" s="12" t="str">
        <f>IF(B415="","",MAX(I415,_xlfn.MAXIFS(التمديدات!$C$2:$C$301,التمديدات!$A$2:$A$301,B415)))</f>
        <v/>
      </c>
      <c r="K415" s="7" t="str">
        <f t="shared" si="20"/>
        <v/>
      </c>
      <c r="L415" s="26"/>
      <c r="M415" s="27"/>
      <c r="N415" s="10"/>
      <c r="O415" s="10"/>
      <c r="P415" s="10"/>
      <c r="Q415" s="10"/>
      <c r="R415" s="7" t="str">
        <f ca="1">IF(B415="","",IF(Q415&lt;&gt;"",Q415,IF(H415&gt;TODAY(),"لم يبدأ بعد",IF(J415&lt;TODAY(),"منتهٍ",IF(J415-TODAY()&lt;='القوائم والإعدادات'!$E$2,"قريب الانتهاء","ساري")))))</f>
        <v/>
      </c>
      <c r="S415" s="7" t="str">
        <f t="shared" ca="1" si="21"/>
        <v/>
      </c>
      <c r="T415" s="7" t="str">
        <f ca="1">IF(OR(R415="ساري",R415="قريب الانتهاء"),IF(S415&lt;='القوائم والإعدادات'!$E$4,"عاجل",IF(S415&lt;='القوائم والإعدادات'!$E$3,"خلال 60 يوم",IF(S415&lt;='القوائم والإعدادات'!$E$2,"خلال 90 يوم",""))),"")</f>
        <v/>
      </c>
      <c r="U415" s="7" t="str">
        <f>IF(B415="","",COUNTIF(التمديدات!$A$2:$A$301,B415))</f>
        <v/>
      </c>
      <c r="V415" s="10"/>
      <c r="W415" s="10"/>
      <c r="X415" s="7" t="str">
        <f t="shared" si="22"/>
        <v/>
      </c>
    </row>
    <row r="416" spans="1:24">
      <c r="A416" s="7">
        <v>415</v>
      </c>
      <c r="B416" s="10"/>
      <c r="C416" s="10"/>
      <c r="D416" s="10"/>
      <c r="E416" s="10"/>
      <c r="F416" s="10"/>
      <c r="G416" s="11"/>
      <c r="H416" s="11"/>
      <c r="I416" s="11"/>
      <c r="J416" s="12" t="str">
        <f>IF(B416="","",MAX(I416,_xlfn.MAXIFS(التمديدات!$C$2:$C$301,التمديدات!$A$2:$A$301,B416)))</f>
        <v/>
      </c>
      <c r="K416" s="7" t="str">
        <f t="shared" si="20"/>
        <v/>
      </c>
      <c r="L416" s="26"/>
      <c r="M416" s="27"/>
      <c r="N416" s="10"/>
      <c r="O416" s="10"/>
      <c r="P416" s="10"/>
      <c r="Q416" s="10"/>
      <c r="R416" s="7" t="str">
        <f ca="1">IF(B416="","",IF(Q416&lt;&gt;"",Q416,IF(H416&gt;TODAY(),"لم يبدأ بعد",IF(J416&lt;TODAY(),"منتهٍ",IF(J416-TODAY()&lt;='القوائم والإعدادات'!$E$2,"قريب الانتهاء","ساري")))))</f>
        <v/>
      </c>
      <c r="S416" s="7" t="str">
        <f t="shared" ca="1" si="21"/>
        <v/>
      </c>
      <c r="T416" s="7" t="str">
        <f ca="1">IF(OR(R416="ساري",R416="قريب الانتهاء"),IF(S416&lt;='القوائم والإعدادات'!$E$4,"عاجل",IF(S416&lt;='القوائم والإعدادات'!$E$3,"خلال 60 يوم",IF(S416&lt;='القوائم والإعدادات'!$E$2,"خلال 90 يوم",""))),"")</f>
        <v/>
      </c>
      <c r="U416" s="7" t="str">
        <f>IF(B416="","",COUNTIF(التمديدات!$A$2:$A$301,B416))</f>
        <v/>
      </c>
      <c r="V416" s="10"/>
      <c r="W416" s="10"/>
      <c r="X416" s="7" t="str">
        <f t="shared" si="22"/>
        <v/>
      </c>
    </row>
    <row r="417" spans="1:24">
      <c r="A417" s="7">
        <v>416</v>
      </c>
      <c r="B417" s="10"/>
      <c r="C417" s="10"/>
      <c r="D417" s="10"/>
      <c r="E417" s="10"/>
      <c r="F417" s="10"/>
      <c r="G417" s="11"/>
      <c r="H417" s="11"/>
      <c r="I417" s="11"/>
      <c r="J417" s="12" t="str">
        <f>IF(B417="","",MAX(I417,_xlfn.MAXIFS(التمديدات!$C$2:$C$301,التمديدات!$A$2:$A$301,B417)))</f>
        <v/>
      </c>
      <c r="K417" s="7" t="str">
        <f t="shared" si="20"/>
        <v/>
      </c>
      <c r="L417" s="26"/>
      <c r="M417" s="27"/>
      <c r="N417" s="10"/>
      <c r="O417" s="10"/>
      <c r="P417" s="10"/>
      <c r="Q417" s="10"/>
      <c r="R417" s="7" t="str">
        <f ca="1">IF(B417="","",IF(Q417&lt;&gt;"",Q417,IF(H417&gt;TODAY(),"لم يبدأ بعد",IF(J417&lt;TODAY(),"منتهٍ",IF(J417-TODAY()&lt;='القوائم والإعدادات'!$E$2,"قريب الانتهاء","ساري")))))</f>
        <v/>
      </c>
      <c r="S417" s="7" t="str">
        <f t="shared" ca="1" si="21"/>
        <v/>
      </c>
      <c r="T417" s="7" t="str">
        <f ca="1">IF(OR(R417="ساري",R417="قريب الانتهاء"),IF(S417&lt;='القوائم والإعدادات'!$E$4,"عاجل",IF(S417&lt;='القوائم والإعدادات'!$E$3,"خلال 60 يوم",IF(S417&lt;='القوائم والإعدادات'!$E$2,"خلال 90 يوم",""))),"")</f>
        <v/>
      </c>
      <c r="U417" s="7" t="str">
        <f>IF(B417="","",COUNTIF(التمديدات!$A$2:$A$301,B417))</f>
        <v/>
      </c>
      <c r="V417" s="10"/>
      <c r="W417" s="10"/>
      <c r="X417" s="7" t="str">
        <f t="shared" si="22"/>
        <v/>
      </c>
    </row>
    <row r="418" spans="1:24">
      <c r="A418" s="7">
        <v>417</v>
      </c>
      <c r="B418" s="10"/>
      <c r="C418" s="10"/>
      <c r="D418" s="10"/>
      <c r="E418" s="10"/>
      <c r="F418" s="10"/>
      <c r="G418" s="11"/>
      <c r="H418" s="11"/>
      <c r="I418" s="11"/>
      <c r="J418" s="12" t="str">
        <f>IF(B418="","",MAX(I418,_xlfn.MAXIFS(التمديدات!$C$2:$C$301,التمديدات!$A$2:$A$301,B418)))</f>
        <v/>
      </c>
      <c r="K418" s="7" t="str">
        <f t="shared" si="20"/>
        <v/>
      </c>
      <c r="L418" s="26"/>
      <c r="M418" s="27"/>
      <c r="N418" s="10"/>
      <c r="O418" s="10"/>
      <c r="P418" s="10"/>
      <c r="Q418" s="10"/>
      <c r="R418" s="7" t="str">
        <f ca="1">IF(B418="","",IF(Q418&lt;&gt;"",Q418,IF(H418&gt;TODAY(),"لم يبدأ بعد",IF(J418&lt;TODAY(),"منتهٍ",IF(J418-TODAY()&lt;='القوائم والإعدادات'!$E$2,"قريب الانتهاء","ساري")))))</f>
        <v/>
      </c>
      <c r="S418" s="7" t="str">
        <f t="shared" ca="1" si="21"/>
        <v/>
      </c>
      <c r="T418" s="7" t="str">
        <f ca="1">IF(OR(R418="ساري",R418="قريب الانتهاء"),IF(S418&lt;='القوائم والإعدادات'!$E$4,"عاجل",IF(S418&lt;='القوائم والإعدادات'!$E$3,"خلال 60 يوم",IF(S418&lt;='القوائم والإعدادات'!$E$2,"خلال 90 يوم",""))),"")</f>
        <v/>
      </c>
      <c r="U418" s="7" t="str">
        <f>IF(B418="","",COUNTIF(التمديدات!$A$2:$A$301,B418))</f>
        <v/>
      </c>
      <c r="V418" s="10"/>
      <c r="W418" s="10"/>
      <c r="X418" s="7" t="str">
        <f t="shared" si="22"/>
        <v/>
      </c>
    </row>
    <row r="419" spans="1:24">
      <c r="A419" s="7">
        <v>418</v>
      </c>
      <c r="B419" s="10"/>
      <c r="C419" s="10"/>
      <c r="D419" s="10"/>
      <c r="E419" s="10"/>
      <c r="F419" s="10"/>
      <c r="G419" s="11"/>
      <c r="H419" s="11"/>
      <c r="I419" s="11"/>
      <c r="J419" s="12" t="str">
        <f>IF(B419="","",MAX(I419,_xlfn.MAXIFS(التمديدات!$C$2:$C$301,التمديدات!$A$2:$A$301,B419)))</f>
        <v/>
      </c>
      <c r="K419" s="7" t="str">
        <f t="shared" si="20"/>
        <v/>
      </c>
      <c r="L419" s="26"/>
      <c r="M419" s="27"/>
      <c r="N419" s="10"/>
      <c r="O419" s="10"/>
      <c r="P419" s="10"/>
      <c r="Q419" s="10"/>
      <c r="R419" s="7" t="str">
        <f ca="1">IF(B419="","",IF(Q419&lt;&gt;"",Q419,IF(H419&gt;TODAY(),"لم يبدأ بعد",IF(J419&lt;TODAY(),"منتهٍ",IF(J419-TODAY()&lt;='القوائم والإعدادات'!$E$2,"قريب الانتهاء","ساري")))))</f>
        <v/>
      </c>
      <c r="S419" s="7" t="str">
        <f t="shared" ca="1" si="21"/>
        <v/>
      </c>
      <c r="T419" s="7" t="str">
        <f ca="1">IF(OR(R419="ساري",R419="قريب الانتهاء"),IF(S419&lt;='القوائم والإعدادات'!$E$4,"عاجل",IF(S419&lt;='القوائم والإعدادات'!$E$3,"خلال 60 يوم",IF(S419&lt;='القوائم والإعدادات'!$E$2,"خلال 90 يوم",""))),"")</f>
        <v/>
      </c>
      <c r="U419" s="7" t="str">
        <f>IF(B419="","",COUNTIF(التمديدات!$A$2:$A$301,B419))</f>
        <v/>
      </c>
      <c r="V419" s="10"/>
      <c r="W419" s="10"/>
      <c r="X419" s="7" t="str">
        <f t="shared" si="22"/>
        <v/>
      </c>
    </row>
    <row r="420" spans="1:24">
      <c r="A420" s="7">
        <v>419</v>
      </c>
      <c r="B420" s="10"/>
      <c r="C420" s="10"/>
      <c r="D420" s="10"/>
      <c r="E420" s="10"/>
      <c r="F420" s="10"/>
      <c r="G420" s="11"/>
      <c r="H420" s="11"/>
      <c r="I420" s="11"/>
      <c r="J420" s="12" t="str">
        <f>IF(B420="","",MAX(I420,_xlfn.MAXIFS(التمديدات!$C$2:$C$301,التمديدات!$A$2:$A$301,B420)))</f>
        <v/>
      </c>
      <c r="K420" s="7" t="str">
        <f t="shared" si="20"/>
        <v/>
      </c>
      <c r="L420" s="26"/>
      <c r="M420" s="27"/>
      <c r="N420" s="10"/>
      <c r="O420" s="10"/>
      <c r="P420" s="10"/>
      <c r="Q420" s="10"/>
      <c r="R420" s="7" t="str">
        <f ca="1">IF(B420="","",IF(Q420&lt;&gt;"",Q420,IF(H420&gt;TODAY(),"لم يبدأ بعد",IF(J420&lt;TODAY(),"منتهٍ",IF(J420-TODAY()&lt;='القوائم والإعدادات'!$E$2,"قريب الانتهاء","ساري")))))</f>
        <v/>
      </c>
      <c r="S420" s="7" t="str">
        <f t="shared" ca="1" si="21"/>
        <v/>
      </c>
      <c r="T420" s="7" t="str">
        <f ca="1">IF(OR(R420="ساري",R420="قريب الانتهاء"),IF(S420&lt;='القوائم والإعدادات'!$E$4,"عاجل",IF(S420&lt;='القوائم والإعدادات'!$E$3,"خلال 60 يوم",IF(S420&lt;='القوائم والإعدادات'!$E$2,"خلال 90 يوم",""))),"")</f>
        <v/>
      </c>
      <c r="U420" s="7" t="str">
        <f>IF(B420="","",COUNTIF(التمديدات!$A$2:$A$301,B420))</f>
        <v/>
      </c>
      <c r="V420" s="10"/>
      <c r="W420" s="10"/>
      <c r="X420" s="7" t="str">
        <f t="shared" si="22"/>
        <v/>
      </c>
    </row>
    <row r="421" spans="1:24">
      <c r="A421" s="7">
        <v>420</v>
      </c>
      <c r="B421" s="10"/>
      <c r="C421" s="10"/>
      <c r="D421" s="10"/>
      <c r="E421" s="10"/>
      <c r="F421" s="10"/>
      <c r="G421" s="11"/>
      <c r="H421" s="11"/>
      <c r="I421" s="11"/>
      <c r="J421" s="12" t="str">
        <f>IF(B421="","",MAX(I421,_xlfn.MAXIFS(التمديدات!$C$2:$C$301,التمديدات!$A$2:$A$301,B421)))</f>
        <v/>
      </c>
      <c r="K421" s="7" t="str">
        <f t="shared" si="20"/>
        <v/>
      </c>
      <c r="L421" s="26"/>
      <c r="M421" s="27"/>
      <c r="N421" s="10"/>
      <c r="O421" s="10"/>
      <c r="P421" s="10"/>
      <c r="Q421" s="10"/>
      <c r="R421" s="7" t="str">
        <f ca="1">IF(B421="","",IF(Q421&lt;&gt;"",Q421,IF(H421&gt;TODAY(),"لم يبدأ بعد",IF(J421&lt;TODAY(),"منتهٍ",IF(J421-TODAY()&lt;='القوائم والإعدادات'!$E$2,"قريب الانتهاء","ساري")))))</f>
        <v/>
      </c>
      <c r="S421" s="7" t="str">
        <f t="shared" ca="1" si="21"/>
        <v/>
      </c>
      <c r="T421" s="7" t="str">
        <f ca="1">IF(OR(R421="ساري",R421="قريب الانتهاء"),IF(S421&lt;='القوائم والإعدادات'!$E$4,"عاجل",IF(S421&lt;='القوائم والإعدادات'!$E$3,"خلال 60 يوم",IF(S421&lt;='القوائم والإعدادات'!$E$2,"خلال 90 يوم",""))),"")</f>
        <v/>
      </c>
      <c r="U421" s="7" t="str">
        <f>IF(B421="","",COUNTIF(التمديدات!$A$2:$A$301,B421))</f>
        <v/>
      </c>
      <c r="V421" s="10"/>
      <c r="W421" s="10"/>
      <c r="X421" s="7" t="str">
        <f t="shared" si="22"/>
        <v/>
      </c>
    </row>
    <row r="422" spans="1:24">
      <c r="A422" s="7">
        <v>421</v>
      </c>
      <c r="B422" s="10"/>
      <c r="C422" s="10"/>
      <c r="D422" s="10"/>
      <c r="E422" s="10"/>
      <c r="F422" s="10"/>
      <c r="G422" s="11"/>
      <c r="H422" s="11"/>
      <c r="I422" s="11"/>
      <c r="J422" s="12" t="str">
        <f>IF(B422="","",MAX(I422,_xlfn.MAXIFS(التمديدات!$C$2:$C$301,التمديدات!$A$2:$A$301,B422)))</f>
        <v/>
      </c>
      <c r="K422" s="7" t="str">
        <f t="shared" si="20"/>
        <v/>
      </c>
      <c r="L422" s="26"/>
      <c r="M422" s="27"/>
      <c r="N422" s="10"/>
      <c r="O422" s="10"/>
      <c r="P422" s="10"/>
      <c r="Q422" s="10"/>
      <c r="R422" s="7" t="str">
        <f ca="1">IF(B422="","",IF(Q422&lt;&gt;"",Q422,IF(H422&gt;TODAY(),"لم يبدأ بعد",IF(J422&lt;TODAY(),"منتهٍ",IF(J422-TODAY()&lt;='القوائم والإعدادات'!$E$2,"قريب الانتهاء","ساري")))))</f>
        <v/>
      </c>
      <c r="S422" s="7" t="str">
        <f t="shared" ca="1" si="21"/>
        <v/>
      </c>
      <c r="T422" s="7" t="str">
        <f ca="1">IF(OR(R422="ساري",R422="قريب الانتهاء"),IF(S422&lt;='القوائم والإعدادات'!$E$4,"عاجل",IF(S422&lt;='القوائم والإعدادات'!$E$3,"خلال 60 يوم",IF(S422&lt;='القوائم والإعدادات'!$E$2,"خلال 90 يوم",""))),"")</f>
        <v/>
      </c>
      <c r="U422" s="7" t="str">
        <f>IF(B422="","",COUNTIF(التمديدات!$A$2:$A$301,B422))</f>
        <v/>
      </c>
      <c r="V422" s="10"/>
      <c r="W422" s="10"/>
      <c r="X422" s="7" t="str">
        <f t="shared" si="22"/>
        <v/>
      </c>
    </row>
    <row r="423" spans="1:24">
      <c r="A423" s="7">
        <v>422</v>
      </c>
      <c r="B423" s="10"/>
      <c r="C423" s="10"/>
      <c r="D423" s="10"/>
      <c r="E423" s="10"/>
      <c r="F423" s="10"/>
      <c r="G423" s="11"/>
      <c r="H423" s="11"/>
      <c r="I423" s="11"/>
      <c r="J423" s="12" t="str">
        <f>IF(B423="","",MAX(I423,_xlfn.MAXIFS(التمديدات!$C$2:$C$301,التمديدات!$A$2:$A$301,B423)))</f>
        <v/>
      </c>
      <c r="K423" s="7" t="str">
        <f t="shared" si="20"/>
        <v/>
      </c>
      <c r="L423" s="26"/>
      <c r="M423" s="27"/>
      <c r="N423" s="10"/>
      <c r="O423" s="10"/>
      <c r="P423" s="10"/>
      <c r="Q423" s="10"/>
      <c r="R423" s="7" t="str">
        <f ca="1">IF(B423="","",IF(Q423&lt;&gt;"",Q423,IF(H423&gt;TODAY(),"لم يبدأ بعد",IF(J423&lt;TODAY(),"منتهٍ",IF(J423-TODAY()&lt;='القوائم والإعدادات'!$E$2,"قريب الانتهاء","ساري")))))</f>
        <v/>
      </c>
      <c r="S423" s="7" t="str">
        <f t="shared" ca="1" si="21"/>
        <v/>
      </c>
      <c r="T423" s="7" t="str">
        <f ca="1">IF(OR(R423="ساري",R423="قريب الانتهاء"),IF(S423&lt;='القوائم والإعدادات'!$E$4,"عاجل",IF(S423&lt;='القوائم والإعدادات'!$E$3,"خلال 60 يوم",IF(S423&lt;='القوائم والإعدادات'!$E$2,"خلال 90 يوم",""))),"")</f>
        <v/>
      </c>
      <c r="U423" s="7" t="str">
        <f>IF(B423="","",COUNTIF(التمديدات!$A$2:$A$301,B423))</f>
        <v/>
      </c>
      <c r="V423" s="10"/>
      <c r="W423" s="10"/>
      <c r="X423" s="7" t="str">
        <f t="shared" si="22"/>
        <v/>
      </c>
    </row>
    <row r="424" spans="1:24">
      <c r="A424" s="7">
        <v>423</v>
      </c>
      <c r="B424" s="10"/>
      <c r="C424" s="10"/>
      <c r="D424" s="10"/>
      <c r="E424" s="10"/>
      <c r="F424" s="10"/>
      <c r="G424" s="11"/>
      <c r="H424" s="11"/>
      <c r="I424" s="11"/>
      <c r="J424" s="12" t="str">
        <f>IF(B424="","",MAX(I424,_xlfn.MAXIFS(التمديدات!$C$2:$C$301,التمديدات!$A$2:$A$301,B424)))</f>
        <v/>
      </c>
      <c r="K424" s="7" t="str">
        <f t="shared" si="20"/>
        <v/>
      </c>
      <c r="L424" s="26"/>
      <c r="M424" s="27"/>
      <c r="N424" s="10"/>
      <c r="O424" s="10"/>
      <c r="P424" s="10"/>
      <c r="Q424" s="10"/>
      <c r="R424" s="7" t="str">
        <f ca="1">IF(B424="","",IF(Q424&lt;&gt;"",Q424,IF(H424&gt;TODAY(),"لم يبدأ بعد",IF(J424&lt;TODAY(),"منتهٍ",IF(J424-TODAY()&lt;='القوائم والإعدادات'!$E$2,"قريب الانتهاء","ساري")))))</f>
        <v/>
      </c>
      <c r="S424" s="7" t="str">
        <f t="shared" ca="1" si="21"/>
        <v/>
      </c>
      <c r="T424" s="7" t="str">
        <f ca="1">IF(OR(R424="ساري",R424="قريب الانتهاء"),IF(S424&lt;='القوائم والإعدادات'!$E$4,"عاجل",IF(S424&lt;='القوائم والإعدادات'!$E$3,"خلال 60 يوم",IF(S424&lt;='القوائم والإعدادات'!$E$2,"خلال 90 يوم",""))),"")</f>
        <v/>
      </c>
      <c r="U424" s="7" t="str">
        <f>IF(B424="","",COUNTIF(التمديدات!$A$2:$A$301,B424))</f>
        <v/>
      </c>
      <c r="V424" s="10"/>
      <c r="W424" s="10"/>
      <c r="X424" s="7" t="str">
        <f t="shared" si="22"/>
        <v/>
      </c>
    </row>
    <row r="425" spans="1:24">
      <c r="A425" s="7">
        <v>424</v>
      </c>
      <c r="B425" s="10"/>
      <c r="C425" s="10"/>
      <c r="D425" s="10"/>
      <c r="E425" s="10"/>
      <c r="F425" s="10"/>
      <c r="G425" s="11"/>
      <c r="H425" s="11"/>
      <c r="I425" s="11"/>
      <c r="J425" s="12" t="str">
        <f>IF(B425="","",MAX(I425,_xlfn.MAXIFS(التمديدات!$C$2:$C$301,التمديدات!$A$2:$A$301,B425)))</f>
        <v/>
      </c>
      <c r="K425" s="7" t="str">
        <f t="shared" si="20"/>
        <v/>
      </c>
      <c r="L425" s="26"/>
      <c r="M425" s="27"/>
      <c r="N425" s="10"/>
      <c r="O425" s="10"/>
      <c r="P425" s="10"/>
      <c r="Q425" s="10"/>
      <c r="R425" s="7" t="str">
        <f ca="1">IF(B425="","",IF(Q425&lt;&gt;"",Q425,IF(H425&gt;TODAY(),"لم يبدأ بعد",IF(J425&lt;TODAY(),"منتهٍ",IF(J425-TODAY()&lt;='القوائم والإعدادات'!$E$2,"قريب الانتهاء","ساري")))))</f>
        <v/>
      </c>
      <c r="S425" s="7" t="str">
        <f t="shared" ca="1" si="21"/>
        <v/>
      </c>
      <c r="T425" s="7" t="str">
        <f ca="1">IF(OR(R425="ساري",R425="قريب الانتهاء"),IF(S425&lt;='القوائم والإعدادات'!$E$4,"عاجل",IF(S425&lt;='القوائم والإعدادات'!$E$3,"خلال 60 يوم",IF(S425&lt;='القوائم والإعدادات'!$E$2,"خلال 90 يوم",""))),"")</f>
        <v/>
      </c>
      <c r="U425" s="7" t="str">
        <f>IF(B425="","",COUNTIF(التمديدات!$A$2:$A$301,B425))</f>
        <v/>
      </c>
      <c r="V425" s="10"/>
      <c r="W425" s="10"/>
      <c r="X425" s="7" t="str">
        <f t="shared" si="22"/>
        <v/>
      </c>
    </row>
    <row r="426" spans="1:24">
      <c r="A426" s="7">
        <v>425</v>
      </c>
      <c r="B426" s="10"/>
      <c r="C426" s="10"/>
      <c r="D426" s="10"/>
      <c r="E426" s="10"/>
      <c r="F426" s="10"/>
      <c r="G426" s="11"/>
      <c r="H426" s="11"/>
      <c r="I426" s="11"/>
      <c r="J426" s="12" t="str">
        <f>IF(B426="","",MAX(I426,_xlfn.MAXIFS(التمديدات!$C$2:$C$301,التمديدات!$A$2:$A$301,B426)))</f>
        <v/>
      </c>
      <c r="K426" s="7" t="str">
        <f t="shared" si="20"/>
        <v/>
      </c>
      <c r="L426" s="26"/>
      <c r="M426" s="27"/>
      <c r="N426" s="10"/>
      <c r="O426" s="10"/>
      <c r="P426" s="10"/>
      <c r="Q426" s="10"/>
      <c r="R426" s="7" t="str">
        <f ca="1">IF(B426="","",IF(Q426&lt;&gt;"",Q426,IF(H426&gt;TODAY(),"لم يبدأ بعد",IF(J426&lt;TODAY(),"منتهٍ",IF(J426-TODAY()&lt;='القوائم والإعدادات'!$E$2,"قريب الانتهاء","ساري")))))</f>
        <v/>
      </c>
      <c r="S426" s="7" t="str">
        <f t="shared" ca="1" si="21"/>
        <v/>
      </c>
      <c r="T426" s="7" t="str">
        <f ca="1">IF(OR(R426="ساري",R426="قريب الانتهاء"),IF(S426&lt;='القوائم والإعدادات'!$E$4,"عاجل",IF(S426&lt;='القوائم والإعدادات'!$E$3,"خلال 60 يوم",IF(S426&lt;='القوائم والإعدادات'!$E$2,"خلال 90 يوم",""))),"")</f>
        <v/>
      </c>
      <c r="U426" s="7" t="str">
        <f>IF(B426="","",COUNTIF(التمديدات!$A$2:$A$301,B426))</f>
        <v/>
      </c>
      <c r="V426" s="10"/>
      <c r="W426" s="10"/>
      <c r="X426" s="7" t="str">
        <f t="shared" si="22"/>
        <v/>
      </c>
    </row>
    <row r="427" spans="1:24">
      <c r="A427" s="7">
        <v>426</v>
      </c>
      <c r="B427" s="10"/>
      <c r="C427" s="10"/>
      <c r="D427" s="10"/>
      <c r="E427" s="10"/>
      <c r="F427" s="10"/>
      <c r="G427" s="11"/>
      <c r="H427" s="11"/>
      <c r="I427" s="11"/>
      <c r="J427" s="12" t="str">
        <f>IF(B427="","",MAX(I427,_xlfn.MAXIFS(التمديدات!$C$2:$C$301,التمديدات!$A$2:$A$301,B427)))</f>
        <v/>
      </c>
      <c r="K427" s="7" t="str">
        <f t="shared" si="20"/>
        <v/>
      </c>
      <c r="L427" s="26"/>
      <c r="M427" s="27"/>
      <c r="N427" s="10"/>
      <c r="O427" s="10"/>
      <c r="P427" s="10"/>
      <c r="Q427" s="10"/>
      <c r="R427" s="7" t="str">
        <f ca="1">IF(B427="","",IF(Q427&lt;&gt;"",Q427,IF(H427&gt;TODAY(),"لم يبدأ بعد",IF(J427&lt;TODAY(),"منتهٍ",IF(J427-TODAY()&lt;='القوائم والإعدادات'!$E$2,"قريب الانتهاء","ساري")))))</f>
        <v/>
      </c>
      <c r="S427" s="7" t="str">
        <f t="shared" ca="1" si="21"/>
        <v/>
      </c>
      <c r="T427" s="7" t="str">
        <f ca="1">IF(OR(R427="ساري",R427="قريب الانتهاء"),IF(S427&lt;='القوائم والإعدادات'!$E$4,"عاجل",IF(S427&lt;='القوائم والإعدادات'!$E$3,"خلال 60 يوم",IF(S427&lt;='القوائم والإعدادات'!$E$2,"خلال 90 يوم",""))),"")</f>
        <v/>
      </c>
      <c r="U427" s="7" t="str">
        <f>IF(B427="","",COUNTIF(التمديدات!$A$2:$A$301,B427))</f>
        <v/>
      </c>
      <c r="V427" s="10"/>
      <c r="W427" s="10"/>
      <c r="X427" s="7" t="str">
        <f t="shared" si="22"/>
        <v/>
      </c>
    </row>
    <row r="428" spans="1:24">
      <c r="A428" s="7">
        <v>427</v>
      </c>
      <c r="B428" s="10"/>
      <c r="C428" s="10"/>
      <c r="D428" s="10"/>
      <c r="E428" s="10"/>
      <c r="F428" s="10"/>
      <c r="G428" s="11"/>
      <c r="H428" s="11"/>
      <c r="I428" s="11"/>
      <c r="J428" s="12" t="str">
        <f>IF(B428="","",MAX(I428,_xlfn.MAXIFS(التمديدات!$C$2:$C$301,التمديدات!$A$2:$A$301,B428)))</f>
        <v/>
      </c>
      <c r="K428" s="7" t="str">
        <f t="shared" si="20"/>
        <v/>
      </c>
      <c r="L428" s="26"/>
      <c r="M428" s="27"/>
      <c r="N428" s="10"/>
      <c r="O428" s="10"/>
      <c r="P428" s="10"/>
      <c r="Q428" s="10"/>
      <c r="R428" s="7" t="str">
        <f ca="1">IF(B428="","",IF(Q428&lt;&gt;"",Q428,IF(H428&gt;TODAY(),"لم يبدأ بعد",IF(J428&lt;TODAY(),"منتهٍ",IF(J428-TODAY()&lt;='القوائم والإعدادات'!$E$2,"قريب الانتهاء","ساري")))))</f>
        <v/>
      </c>
      <c r="S428" s="7" t="str">
        <f t="shared" ca="1" si="21"/>
        <v/>
      </c>
      <c r="T428" s="7" t="str">
        <f ca="1">IF(OR(R428="ساري",R428="قريب الانتهاء"),IF(S428&lt;='القوائم والإعدادات'!$E$4,"عاجل",IF(S428&lt;='القوائم والإعدادات'!$E$3,"خلال 60 يوم",IF(S428&lt;='القوائم والإعدادات'!$E$2,"خلال 90 يوم",""))),"")</f>
        <v/>
      </c>
      <c r="U428" s="7" t="str">
        <f>IF(B428="","",COUNTIF(التمديدات!$A$2:$A$301,B428))</f>
        <v/>
      </c>
      <c r="V428" s="10"/>
      <c r="W428" s="10"/>
      <c r="X428" s="7" t="str">
        <f t="shared" si="22"/>
        <v/>
      </c>
    </row>
    <row r="429" spans="1:24">
      <c r="A429" s="7">
        <v>428</v>
      </c>
      <c r="B429" s="10"/>
      <c r="C429" s="10"/>
      <c r="D429" s="10"/>
      <c r="E429" s="10"/>
      <c r="F429" s="10"/>
      <c r="G429" s="11"/>
      <c r="H429" s="11"/>
      <c r="I429" s="11"/>
      <c r="J429" s="12" t="str">
        <f>IF(B429="","",MAX(I429,_xlfn.MAXIFS(التمديدات!$C$2:$C$301,التمديدات!$A$2:$A$301,B429)))</f>
        <v/>
      </c>
      <c r="K429" s="7" t="str">
        <f t="shared" si="20"/>
        <v/>
      </c>
      <c r="L429" s="26"/>
      <c r="M429" s="27"/>
      <c r="N429" s="10"/>
      <c r="O429" s="10"/>
      <c r="P429" s="10"/>
      <c r="Q429" s="10"/>
      <c r="R429" s="7" t="str">
        <f ca="1">IF(B429="","",IF(Q429&lt;&gt;"",Q429,IF(H429&gt;TODAY(),"لم يبدأ بعد",IF(J429&lt;TODAY(),"منتهٍ",IF(J429-TODAY()&lt;='القوائم والإعدادات'!$E$2,"قريب الانتهاء","ساري")))))</f>
        <v/>
      </c>
      <c r="S429" s="7" t="str">
        <f t="shared" ca="1" si="21"/>
        <v/>
      </c>
      <c r="T429" s="7" t="str">
        <f ca="1">IF(OR(R429="ساري",R429="قريب الانتهاء"),IF(S429&lt;='القوائم والإعدادات'!$E$4,"عاجل",IF(S429&lt;='القوائم والإعدادات'!$E$3,"خلال 60 يوم",IF(S429&lt;='القوائم والإعدادات'!$E$2,"خلال 90 يوم",""))),"")</f>
        <v/>
      </c>
      <c r="U429" s="7" t="str">
        <f>IF(B429="","",COUNTIF(التمديدات!$A$2:$A$301,B429))</f>
        <v/>
      </c>
      <c r="V429" s="10"/>
      <c r="W429" s="10"/>
      <c r="X429" s="7" t="str">
        <f t="shared" si="22"/>
        <v/>
      </c>
    </row>
    <row r="430" spans="1:24">
      <c r="A430" s="7">
        <v>429</v>
      </c>
      <c r="B430" s="10"/>
      <c r="C430" s="10"/>
      <c r="D430" s="10"/>
      <c r="E430" s="10"/>
      <c r="F430" s="10"/>
      <c r="G430" s="11"/>
      <c r="H430" s="11"/>
      <c r="I430" s="11"/>
      <c r="J430" s="12" t="str">
        <f>IF(B430="","",MAX(I430,_xlfn.MAXIFS(التمديدات!$C$2:$C$301,التمديدات!$A$2:$A$301,B430)))</f>
        <v/>
      </c>
      <c r="K430" s="7" t="str">
        <f t="shared" si="20"/>
        <v/>
      </c>
      <c r="L430" s="26"/>
      <c r="M430" s="27"/>
      <c r="N430" s="10"/>
      <c r="O430" s="10"/>
      <c r="P430" s="10"/>
      <c r="Q430" s="10"/>
      <c r="R430" s="7" t="str">
        <f ca="1">IF(B430="","",IF(Q430&lt;&gt;"",Q430,IF(H430&gt;TODAY(),"لم يبدأ بعد",IF(J430&lt;TODAY(),"منتهٍ",IF(J430-TODAY()&lt;='القوائم والإعدادات'!$E$2,"قريب الانتهاء","ساري")))))</f>
        <v/>
      </c>
      <c r="S430" s="7" t="str">
        <f t="shared" ca="1" si="21"/>
        <v/>
      </c>
      <c r="T430" s="7" t="str">
        <f ca="1">IF(OR(R430="ساري",R430="قريب الانتهاء"),IF(S430&lt;='القوائم والإعدادات'!$E$4,"عاجل",IF(S430&lt;='القوائم والإعدادات'!$E$3,"خلال 60 يوم",IF(S430&lt;='القوائم والإعدادات'!$E$2,"خلال 90 يوم",""))),"")</f>
        <v/>
      </c>
      <c r="U430" s="7" t="str">
        <f>IF(B430="","",COUNTIF(التمديدات!$A$2:$A$301,B430))</f>
        <v/>
      </c>
      <c r="V430" s="10"/>
      <c r="W430" s="10"/>
      <c r="X430" s="7" t="str">
        <f t="shared" si="22"/>
        <v/>
      </c>
    </row>
    <row r="431" spans="1:24">
      <c r="A431" s="7">
        <v>430</v>
      </c>
      <c r="B431" s="10"/>
      <c r="C431" s="10"/>
      <c r="D431" s="10"/>
      <c r="E431" s="10"/>
      <c r="F431" s="10"/>
      <c r="G431" s="11"/>
      <c r="H431" s="11"/>
      <c r="I431" s="11"/>
      <c r="J431" s="12" t="str">
        <f>IF(B431="","",MAX(I431,_xlfn.MAXIFS(التمديدات!$C$2:$C$301,التمديدات!$A$2:$A$301,B431)))</f>
        <v/>
      </c>
      <c r="K431" s="7" t="str">
        <f t="shared" si="20"/>
        <v/>
      </c>
      <c r="L431" s="26"/>
      <c r="M431" s="27"/>
      <c r="N431" s="10"/>
      <c r="O431" s="10"/>
      <c r="P431" s="10"/>
      <c r="Q431" s="10"/>
      <c r="R431" s="7" t="str">
        <f ca="1">IF(B431="","",IF(Q431&lt;&gt;"",Q431,IF(H431&gt;TODAY(),"لم يبدأ بعد",IF(J431&lt;TODAY(),"منتهٍ",IF(J431-TODAY()&lt;='القوائم والإعدادات'!$E$2,"قريب الانتهاء","ساري")))))</f>
        <v/>
      </c>
      <c r="S431" s="7" t="str">
        <f t="shared" ca="1" si="21"/>
        <v/>
      </c>
      <c r="T431" s="7" t="str">
        <f ca="1">IF(OR(R431="ساري",R431="قريب الانتهاء"),IF(S431&lt;='القوائم والإعدادات'!$E$4,"عاجل",IF(S431&lt;='القوائم والإعدادات'!$E$3,"خلال 60 يوم",IF(S431&lt;='القوائم والإعدادات'!$E$2,"خلال 90 يوم",""))),"")</f>
        <v/>
      </c>
      <c r="U431" s="7" t="str">
        <f>IF(B431="","",COUNTIF(التمديدات!$A$2:$A$301,B431))</f>
        <v/>
      </c>
      <c r="V431" s="10"/>
      <c r="W431" s="10"/>
      <c r="X431" s="7" t="str">
        <f t="shared" si="22"/>
        <v/>
      </c>
    </row>
    <row r="432" spans="1:24">
      <c r="A432" s="7">
        <v>431</v>
      </c>
      <c r="B432" s="10"/>
      <c r="C432" s="10"/>
      <c r="D432" s="10"/>
      <c r="E432" s="10"/>
      <c r="F432" s="10"/>
      <c r="G432" s="11"/>
      <c r="H432" s="11"/>
      <c r="I432" s="11"/>
      <c r="J432" s="12" t="str">
        <f>IF(B432="","",MAX(I432,_xlfn.MAXIFS(التمديدات!$C$2:$C$301,التمديدات!$A$2:$A$301,B432)))</f>
        <v/>
      </c>
      <c r="K432" s="7" t="str">
        <f t="shared" si="20"/>
        <v/>
      </c>
      <c r="L432" s="26"/>
      <c r="M432" s="27"/>
      <c r="N432" s="10"/>
      <c r="O432" s="10"/>
      <c r="P432" s="10"/>
      <c r="Q432" s="10"/>
      <c r="R432" s="7" t="str">
        <f ca="1">IF(B432="","",IF(Q432&lt;&gt;"",Q432,IF(H432&gt;TODAY(),"لم يبدأ بعد",IF(J432&lt;TODAY(),"منتهٍ",IF(J432-TODAY()&lt;='القوائم والإعدادات'!$E$2,"قريب الانتهاء","ساري")))))</f>
        <v/>
      </c>
      <c r="S432" s="7" t="str">
        <f t="shared" ca="1" si="21"/>
        <v/>
      </c>
      <c r="T432" s="7" t="str">
        <f ca="1">IF(OR(R432="ساري",R432="قريب الانتهاء"),IF(S432&lt;='القوائم والإعدادات'!$E$4,"عاجل",IF(S432&lt;='القوائم والإعدادات'!$E$3,"خلال 60 يوم",IF(S432&lt;='القوائم والإعدادات'!$E$2,"خلال 90 يوم",""))),"")</f>
        <v/>
      </c>
      <c r="U432" s="7" t="str">
        <f>IF(B432="","",COUNTIF(التمديدات!$A$2:$A$301,B432))</f>
        <v/>
      </c>
      <c r="V432" s="10"/>
      <c r="W432" s="10"/>
      <c r="X432" s="7" t="str">
        <f t="shared" si="22"/>
        <v/>
      </c>
    </row>
    <row r="433" spans="1:24">
      <c r="A433" s="7">
        <v>432</v>
      </c>
      <c r="B433" s="10"/>
      <c r="C433" s="10"/>
      <c r="D433" s="10"/>
      <c r="E433" s="10"/>
      <c r="F433" s="10"/>
      <c r="G433" s="11"/>
      <c r="H433" s="11"/>
      <c r="I433" s="11"/>
      <c r="J433" s="12" t="str">
        <f>IF(B433="","",MAX(I433,_xlfn.MAXIFS(التمديدات!$C$2:$C$301,التمديدات!$A$2:$A$301,B433)))</f>
        <v/>
      </c>
      <c r="K433" s="7" t="str">
        <f t="shared" si="20"/>
        <v/>
      </c>
      <c r="L433" s="26"/>
      <c r="M433" s="27"/>
      <c r="N433" s="10"/>
      <c r="O433" s="10"/>
      <c r="P433" s="10"/>
      <c r="Q433" s="10"/>
      <c r="R433" s="7" t="str">
        <f ca="1">IF(B433="","",IF(Q433&lt;&gt;"",Q433,IF(H433&gt;TODAY(),"لم يبدأ بعد",IF(J433&lt;TODAY(),"منتهٍ",IF(J433-TODAY()&lt;='القوائم والإعدادات'!$E$2,"قريب الانتهاء","ساري")))))</f>
        <v/>
      </c>
      <c r="S433" s="7" t="str">
        <f t="shared" ca="1" si="21"/>
        <v/>
      </c>
      <c r="T433" s="7" t="str">
        <f ca="1">IF(OR(R433="ساري",R433="قريب الانتهاء"),IF(S433&lt;='القوائم والإعدادات'!$E$4,"عاجل",IF(S433&lt;='القوائم والإعدادات'!$E$3,"خلال 60 يوم",IF(S433&lt;='القوائم والإعدادات'!$E$2,"خلال 90 يوم",""))),"")</f>
        <v/>
      </c>
      <c r="U433" s="7" t="str">
        <f>IF(B433="","",COUNTIF(التمديدات!$A$2:$A$301,B433))</f>
        <v/>
      </c>
      <c r="V433" s="10"/>
      <c r="W433" s="10"/>
      <c r="X433" s="7" t="str">
        <f t="shared" si="22"/>
        <v/>
      </c>
    </row>
    <row r="434" spans="1:24">
      <c r="A434" s="7">
        <v>433</v>
      </c>
      <c r="B434" s="10"/>
      <c r="C434" s="10"/>
      <c r="D434" s="10"/>
      <c r="E434" s="10"/>
      <c r="F434" s="10"/>
      <c r="G434" s="11"/>
      <c r="H434" s="11"/>
      <c r="I434" s="11"/>
      <c r="J434" s="12" t="str">
        <f>IF(B434="","",MAX(I434,_xlfn.MAXIFS(التمديدات!$C$2:$C$301,التمديدات!$A$2:$A$301,B434)))</f>
        <v/>
      </c>
      <c r="K434" s="7" t="str">
        <f t="shared" si="20"/>
        <v/>
      </c>
      <c r="L434" s="26"/>
      <c r="M434" s="27"/>
      <c r="N434" s="10"/>
      <c r="O434" s="10"/>
      <c r="P434" s="10"/>
      <c r="Q434" s="10"/>
      <c r="R434" s="7" t="str">
        <f ca="1">IF(B434="","",IF(Q434&lt;&gt;"",Q434,IF(H434&gt;TODAY(),"لم يبدأ بعد",IF(J434&lt;TODAY(),"منتهٍ",IF(J434-TODAY()&lt;='القوائم والإعدادات'!$E$2,"قريب الانتهاء","ساري")))))</f>
        <v/>
      </c>
      <c r="S434" s="7" t="str">
        <f t="shared" ca="1" si="21"/>
        <v/>
      </c>
      <c r="T434" s="7" t="str">
        <f ca="1">IF(OR(R434="ساري",R434="قريب الانتهاء"),IF(S434&lt;='القوائم والإعدادات'!$E$4,"عاجل",IF(S434&lt;='القوائم والإعدادات'!$E$3,"خلال 60 يوم",IF(S434&lt;='القوائم والإعدادات'!$E$2,"خلال 90 يوم",""))),"")</f>
        <v/>
      </c>
      <c r="U434" s="7" t="str">
        <f>IF(B434="","",COUNTIF(التمديدات!$A$2:$A$301,B434))</f>
        <v/>
      </c>
      <c r="V434" s="10"/>
      <c r="W434" s="10"/>
      <c r="X434" s="7" t="str">
        <f t="shared" si="22"/>
        <v/>
      </c>
    </row>
    <row r="435" spans="1:24">
      <c r="A435" s="7">
        <v>434</v>
      </c>
      <c r="B435" s="10"/>
      <c r="C435" s="10"/>
      <c r="D435" s="10"/>
      <c r="E435" s="10"/>
      <c r="F435" s="10"/>
      <c r="G435" s="11"/>
      <c r="H435" s="11"/>
      <c r="I435" s="11"/>
      <c r="J435" s="12" t="str">
        <f>IF(B435="","",MAX(I435,_xlfn.MAXIFS(التمديدات!$C$2:$C$301,التمديدات!$A$2:$A$301,B435)))</f>
        <v/>
      </c>
      <c r="K435" s="7" t="str">
        <f t="shared" si="20"/>
        <v/>
      </c>
      <c r="L435" s="26"/>
      <c r="M435" s="27"/>
      <c r="N435" s="10"/>
      <c r="O435" s="10"/>
      <c r="P435" s="10"/>
      <c r="Q435" s="10"/>
      <c r="R435" s="7" t="str">
        <f ca="1">IF(B435="","",IF(Q435&lt;&gt;"",Q435,IF(H435&gt;TODAY(),"لم يبدأ بعد",IF(J435&lt;TODAY(),"منتهٍ",IF(J435-TODAY()&lt;='القوائم والإعدادات'!$E$2,"قريب الانتهاء","ساري")))))</f>
        <v/>
      </c>
      <c r="S435" s="7" t="str">
        <f t="shared" ca="1" si="21"/>
        <v/>
      </c>
      <c r="T435" s="7" t="str">
        <f ca="1">IF(OR(R435="ساري",R435="قريب الانتهاء"),IF(S435&lt;='القوائم والإعدادات'!$E$4,"عاجل",IF(S435&lt;='القوائم والإعدادات'!$E$3,"خلال 60 يوم",IF(S435&lt;='القوائم والإعدادات'!$E$2,"خلال 90 يوم",""))),"")</f>
        <v/>
      </c>
      <c r="U435" s="7" t="str">
        <f>IF(B435="","",COUNTIF(التمديدات!$A$2:$A$301,B435))</f>
        <v/>
      </c>
      <c r="V435" s="10"/>
      <c r="W435" s="10"/>
      <c r="X435" s="7" t="str">
        <f t="shared" si="22"/>
        <v/>
      </c>
    </row>
    <row r="436" spans="1:24">
      <c r="A436" s="7">
        <v>435</v>
      </c>
      <c r="B436" s="10"/>
      <c r="C436" s="10"/>
      <c r="D436" s="10"/>
      <c r="E436" s="10"/>
      <c r="F436" s="10"/>
      <c r="G436" s="11"/>
      <c r="H436" s="11"/>
      <c r="I436" s="11"/>
      <c r="J436" s="12" t="str">
        <f>IF(B436="","",MAX(I436,_xlfn.MAXIFS(التمديدات!$C$2:$C$301,التمديدات!$A$2:$A$301,B436)))</f>
        <v/>
      </c>
      <c r="K436" s="7" t="str">
        <f t="shared" si="20"/>
        <v/>
      </c>
      <c r="L436" s="26"/>
      <c r="M436" s="27"/>
      <c r="N436" s="10"/>
      <c r="O436" s="10"/>
      <c r="P436" s="10"/>
      <c r="Q436" s="10"/>
      <c r="R436" s="7" t="str">
        <f ca="1">IF(B436="","",IF(Q436&lt;&gt;"",Q436,IF(H436&gt;TODAY(),"لم يبدأ بعد",IF(J436&lt;TODAY(),"منتهٍ",IF(J436-TODAY()&lt;='القوائم والإعدادات'!$E$2,"قريب الانتهاء","ساري")))))</f>
        <v/>
      </c>
      <c r="S436" s="7" t="str">
        <f t="shared" ca="1" si="21"/>
        <v/>
      </c>
      <c r="T436" s="7" t="str">
        <f ca="1">IF(OR(R436="ساري",R436="قريب الانتهاء"),IF(S436&lt;='القوائم والإعدادات'!$E$4,"عاجل",IF(S436&lt;='القوائم والإعدادات'!$E$3,"خلال 60 يوم",IF(S436&lt;='القوائم والإعدادات'!$E$2,"خلال 90 يوم",""))),"")</f>
        <v/>
      </c>
      <c r="U436" s="7" t="str">
        <f>IF(B436="","",COUNTIF(التمديدات!$A$2:$A$301,B436))</f>
        <v/>
      </c>
      <c r="V436" s="10"/>
      <c r="W436" s="10"/>
      <c r="X436" s="7" t="str">
        <f t="shared" si="22"/>
        <v/>
      </c>
    </row>
    <row r="437" spans="1:24">
      <c r="A437" s="7">
        <v>436</v>
      </c>
      <c r="B437" s="10"/>
      <c r="C437" s="10"/>
      <c r="D437" s="10"/>
      <c r="E437" s="10"/>
      <c r="F437" s="10"/>
      <c r="G437" s="11"/>
      <c r="H437" s="11"/>
      <c r="I437" s="11"/>
      <c r="J437" s="12" t="str">
        <f>IF(B437="","",MAX(I437,_xlfn.MAXIFS(التمديدات!$C$2:$C$301,التمديدات!$A$2:$A$301,B437)))</f>
        <v/>
      </c>
      <c r="K437" s="7" t="str">
        <f t="shared" si="20"/>
        <v/>
      </c>
      <c r="L437" s="26"/>
      <c r="M437" s="27"/>
      <c r="N437" s="10"/>
      <c r="O437" s="10"/>
      <c r="P437" s="10"/>
      <c r="Q437" s="10"/>
      <c r="R437" s="7" t="str">
        <f ca="1">IF(B437="","",IF(Q437&lt;&gt;"",Q437,IF(H437&gt;TODAY(),"لم يبدأ بعد",IF(J437&lt;TODAY(),"منتهٍ",IF(J437-TODAY()&lt;='القوائم والإعدادات'!$E$2,"قريب الانتهاء","ساري")))))</f>
        <v/>
      </c>
      <c r="S437" s="7" t="str">
        <f t="shared" ca="1" si="21"/>
        <v/>
      </c>
      <c r="T437" s="7" t="str">
        <f ca="1">IF(OR(R437="ساري",R437="قريب الانتهاء"),IF(S437&lt;='القوائم والإعدادات'!$E$4,"عاجل",IF(S437&lt;='القوائم والإعدادات'!$E$3,"خلال 60 يوم",IF(S437&lt;='القوائم والإعدادات'!$E$2,"خلال 90 يوم",""))),"")</f>
        <v/>
      </c>
      <c r="U437" s="7" t="str">
        <f>IF(B437="","",COUNTIF(التمديدات!$A$2:$A$301,B437))</f>
        <v/>
      </c>
      <c r="V437" s="10"/>
      <c r="W437" s="10"/>
      <c r="X437" s="7" t="str">
        <f t="shared" si="22"/>
        <v/>
      </c>
    </row>
    <row r="438" spans="1:24">
      <c r="A438" s="7">
        <v>437</v>
      </c>
      <c r="B438" s="10"/>
      <c r="C438" s="10"/>
      <c r="D438" s="10"/>
      <c r="E438" s="10"/>
      <c r="F438" s="10"/>
      <c r="G438" s="11"/>
      <c r="H438" s="11"/>
      <c r="I438" s="11"/>
      <c r="J438" s="12" t="str">
        <f>IF(B438="","",MAX(I438,_xlfn.MAXIFS(التمديدات!$C$2:$C$301,التمديدات!$A$2:$A$301,B438)))</f>
        <v/>
      </c>
      <c r="K438" s="7" t="str">
        <f t="shared" si="20"/>
        <v/>
      </c>
      <c r="L438" s="26"/>
      <c r="M438" s="27"/>
      <c r="N438" s="10"/>
      <c r="O438" s="10"/>
      <c r="P438" s="10"/>
      <c r="Q438" s="10"/>
      <c r="R438" s="7" t="str">
        <f ca="1">IF(B438="","",IF(Q438&lt;&gt;"",Q438,IF(H438&gt;TODAY(),"لم يبدأ بعد",IF(J438&lt;TODAY(),"منتهٍ",IF(J438-TODAY()&lt;='القوائم والإعدادات'!$E$2,"قريب الانتهاء","ساري")))))</f>
        <v/>
      </c>
      <c r="S438" s="7" t="str">
        <f t="shared" ca="1" si="21"/>
        <v/>
      </c>
      <c r="T438" s="7" t="str">
        <f ca="1">IF(OR(R438="ساري",R438="قريب الانتهاء"),IF(S438&lt;='القوائم والإعدادات'!$E$4,"عاجل",IF(S438&lt;='القوائم والإعدادات'!$E$3,"خلال 60 يوم",IF(S438&lt;='القوائم والإعدادات'!$E$2,"خلال 90 يوم",""))),"")</f>
        <v/>
      </c>
      <c r="U438" s="7" t="str">
        <f>IF(B438="","",COUNTIF(التمديدات!$A$2:$A$301,B438))</f>
        <v/>
      </c>
      <c r="V438" s="10"/>
      <c r="W438" s="10"/>
      <c r="X438" s="7" t="str">
        <f t="shared" si="22"/>
        <v/>
      </c>
    </row>
    <row r="439" spans="1:24">
      <c r="A439" s="7">
        <v>438</v>
      </c>
      <c r="B439" s="10"/>
      <c r="C439" s="10"/>
      <c r="D439" s="10"/>
      <c r="E439" s="10"/>
      <c r="F439" s="10"/>
      <c r="G439" s="11"/>
      <c r="H439" s="11"/>
      <c r="I439" s="11"/>
      <c r="J439" s="12" t="str">
        <f>IF(B439="","",MAX(I439,_xlfn.MAXIFS(التمديدات!$C$2:$C$301,التمديدات!$A$2:$A$301,B439)))</f>
        <v/>
      </c>
      <c r="K439" s="7" t="str">
        <f t="shared" si="20"/>
        <v/>
      </c>
      <c r="L439" s="26"/>
      <c r="M439" s="27"/>
      <c r="N439" s="10"/>
      <c r="O439" s="10"/>
      <c r="P439" s="10"/>
      <c r="Q439" s="10"/>
      <c r="R439" s="7" t="str">
        <f ca="1">IF(B439="","",IF(Q439&lt;&gt;"",Q439,IF(H439&gt;TODAY(),"لم يبدأ بعد",IF(J439&lt;TODAY(),"منتهٍ",IF(J439-TODAY()&lt;='القوائم والإعدادات'!$E$2,"قريب الانتهاء","ساري")))))</f>
        <v/>
      </c>
      <c r="S439" s="7" t="str">
        <f t="shared" ca="1" si="21"/>
        <v/>
      </c>
      <c r="T439" s="7" t="str">
        <f ca="1">IF(OR(R439="ساري",R439="قريب الانتهاء"),IF(S439&lt;='القوائم والإعدادات'!$E$4,"عاجل",IF(S439&lt;='القوائم والإعدادات'!$E$3,"خلال 60 يوم",IF(S439&lt;='القوائم والإعدادات'!$E$2,"خلال 90 يوم",""))),"")</f>
        <v/>
      </c>
      <c r="U439" s="7" t="str">
        <f>IF(B439="","",COUNTIF(التمديدات!$A$2:$A$301,B439))</f>
        <v/>
      </c>
      <c r="V439" s="10"/>
      <c r="W439" s="10"/>
      <c r="X439" s="7" t="str">
        <f t="shared" si="22"/>
        <v/>
      </c>
    </row>
    <row r="440" spans="1:24">
      <c r="A440" s="7">
        <v>439</v>
      </c>
      <c r="B440" s="10"/>
      <c r="C440" s="10"/>
      <c r="D440" s="10"/>
      <c r="E440" s="10"/>
      <c r="F440" s="10"/>
      <c r="G440" s="11"/>
      <c r="H440" s="11"/>
      <c r="I440" s="11"/>
      <c r="J440" s="12" t="str">
        <f>IF(B440="","",MAX(I440,_xlfn.MAXIFS(التمديدات!$C$2:$C$301,التمديدات!$A$2:$A$301,B440)))</f>
        <v/>
      </c>
      <c r="K440" s="7" t="str">
        <f t="shared" si="20"/>
        <v/>
      </c>
      <c r="L440" s="26"/>
      <c r="M440" s="27"/>
      <c r="N440" s="10"/>
      <c r="O440" s="10"/>
      <c r="P440" s="10"/>
      <c r="Q440" s="10"/>
      <c r="R440" s="7" t="str">
        <f ca="1">IF(B440="","",IF(Q440&lt;&gt;"",Q440,IF(H440&gt;TODAY(),"لم يبدأ بعد",IF(J440&lt;TODAY(),"منتهٍ",IF(J440-TODAY()&lt;='القوائم والإعدادات'!$E$2,"قريب الانتهاء","ساري")))))</f>
        <v/>
      </c>
      <c r="S440" s="7" t="str">
        <f t="shared" ca="1" si="21"/>
        <v/>
      </c>
      <c r="T440" s="7" t="str">
        <f ca="1">IF(OR(R440="ساري",R440="قريب الانتهاء"),IF(S440&lt;='القوائم والإعدادات'!$E$4,"عاجل",IF(S440&lt;='القوائم والإعدادات'!$E$3,"خلال 60 يوم",IF(S440&lt;='القوائم والإعدادات'!$E$2,"خلال 90 يوم",""))),"")</f>
        <v/>
      </c>
      <c r="U440" s="7" t="str">
        <f>IF(B440="","",COUNTIF(التمديدات!$A$2:$A$301,B440))</f>
        <v/>
      </c>
      <c r="V440" s="10"/>
      <c r="W440" s="10"/>
      <c r="X440" s="7" t="str">
        <f t="shared" si="22"/>
        <v/>
      </c>
    </row>
    <row r="441" spans="1:24">
      <c r="A441" s="7">
        <v>440</v>
      </c>
      <c r="B441" s="10"/>
      <c r="C441" s="10"/>
      <c r="D441" s="10"/>
      <c r="E441" s="10"/>
      <c r="F441" s="10"/>
      <c r="G441" s="11"/>
      <c r="H441" s="11"/>
      <c r="I441" s="11"/>
      <c r="J441" s="12" t="str">
        <f>IF(B441="","",MAX(I441,_xlfn.MAXIFS(التمديدات!$C$2:$C$301,التمديدات!$A$2:$A$301,B441)))</f>
        <v/>
      </c>
      <c r="K441" s="7" t="str">
        <f t="shared" si="20"/>
        <v/>
      </c>
      <c r="L441" s="26"/>
      <c r="M441" s="27"/>
      <c r="N441" s="10"/>
      <c r="O441" s="10"/>
      <c r="P441" s="10"/>
      <c r="Q441" s="10"/>
      <c r="R441" s="7" t="str">
        <f ca="1">IF(B441="","",IF(Q441&lt;&gt;"",Q441,IF(H441&gt;TODAY(),"لم يبدأ بعد",IF(J441&lt;TODAY(),"منتهٍ",IF(J441-TODAY()&lt;='القوائم والإعدادات'!$E$2,"قريب الانتهاء","ساري")))))</f>
        <v/>
      </c>
      <c r="S441" s="7" t="str">
        <f t="shared" ca="1" si="21"/>
        <v/>
      </c>
      <c r="T441" s="7" t="str">
        <f ca="1">IF(OR(R441="ساري",R441="قريب الانتهاء"),IF(S441&lt;='القوائم والإعدادات'!$E$4,"عاجل",IF(S441&lt;='القوائم والإعدادات'!$E$3,"خلال 60 يوم",IF(S441&lt;='القوائم والإعدادات'!$E$2,"خلال 90 يوم",""))),"")</f>
        <v/>
      </c>
      <c r="U441" s="7" t="str">
        <f>IF(B441="","",COUNTIF(التمديدات!$A$2:$A$301,B441))</f>
        <v/>
      </c>
      <c r="V441" s="10"/>
      <c r="W441" s="10"/>
      <c r="X441" s="7" t="str">
        <f t="shared" si="22"/>
        <v/>
      </c>
    </row>
    <row r="442" spans="1:24">
      <c r="A442" s="7">
        <v>441</v>
      </c>
      <c r="B442" s="10"/>
      <c r="C442" s="10"/>
      <c r="D442" s="10"/>
      <c r="E442" s="10"/>
      <c r="F442" s="10"/>
      <c r="G442" s="11"/>
      <c r="H442" s="11"/>
      <c r="I442" s="11"/>
      <c r="J442" s="12" t="str">
        <f>IF(B442="","",MAX(I442,_xlfn.MAXIFS(التمديدات!$C$2:$C$301,التمديدات!$A$2:$A$301,B442)))</f>
        <v/>
      </c>
      <c r="K442" s="7" t="str">
        <f t="shared" si="20"/>
        <v/>
      </c>
      <c r="L442" s="26"/>
      <c r="M442" s="27"/>
      <c r="N442" s="10"/>
      <c r="O442" s="10"/>
      <c r="P442" s="10"/>
      <c r="Q442" s="10"/>
      <c r="R442" s="7" t="str">
        <f ca="1">IF(B442="","",IF(Q442&lt;&gt;"",Q442,IF(H442&gt;TODAY(),"لم يبدأ بعد",IF(J442&lt;TODAY(),"منتهٍ",IF(J442-TODAY()&lt;='القوائم والإعدادات'!$E$2,"قريب الانتهاء","ساري")))))</f>
        <v/>
      </c>
      <c r="S442" s="7" t="str">
        <f t="shared" ca="1" si="21"/>
        <v/>
      </c>
      <c r="T442" s="7" t="str">
        <f ca="1">IF(OR(R442="ساري",R442="قريب الانتهاء"),IF(S442&lt;='القوائم والإعدادات'!$E$4,"عاجل",IF(S442&lt;='القوائم والإعدادات'!$E$3,"خلال 60 يوم",IF(S442&lt;='القوائم والإعدادات'!$E$2,"خلال 90 يوم",""))),"")</f>
        <v/>
      </c>
      <c r="U442" s="7" t="str">
        <f>IF(B442="","",COUNTIF(التمديدات!$A$2:$A$301,B442))</f>
        <v/>
      </c>
      <c r="V442" s="10"/>
      <c r="W442" s="10"/>
      <c r="X442" s="7" t="str">
        <f t="shared" si="22"/>
        <v/>
      </c>
    </row>
    <row r="443" spans="1:24">
      <c r="A443" s="7">
        <v>442</v>
      </c>
      <c r="B443" s="10"/>
      <c r="C443" s="10"/>
      <c r="D443" s="10"/>
      <c r="E443" s="10"/>
      <c r="F443" s="10"/>
      <c r="G443" s="11"/>
      <c r="H443" s="11"/>
      <c r="I443" s="11"/>
      <c r="J443" s="12" t="str">
        <f>IF(B443="","",MAX(I443,_xlfn.MAXIFS(التمديدات!$C$2:$C$301,التمديدات!$A$2:$A$301,B443)))</f>
        <v/>
      </c>
      <c r="K443" s="7" t="str">
        <f t="shared" si="20"/>
        <v/>
      </c>
      <c r="L443" s="26"/>
      <c r="M443" s="27"/>
      <c r="N443" s="10"/>
      <c r="O443" s="10"/>
      <c r="P443" s="10"/>
      <c r="Q443" s="10"/>
      <c r="R443" s="7" t="str">
        <f ca="1">IF(B443="","",IF(Q443&lt;&gt;"",Q443,IF(H443&gt;TODAY(),"لم يبدأ بعد",IF(J443&lt;TODAY(),"منتهٍ",IF(J443-TODAY()&lt;='القوائم والإعدادات'!$E$2,"قريب الانتهاء","ساري")))))</f>
        <v/>
      </c>
      <c r="S443" s="7" t="str">
        <f t="shared" ca="1" si="21"/>
        <v/>
      </c>
      <c r="T443" s="7" t="str">
        <f ca="1">IF(OR(R443="ساري",R443="قريب الانتهاء"),IF(S443&lt;='القوائم والإعدادات'!$E$4,"عاجل",IF(S443&lt;='القوائم والإعدادات'!$E$3,"خلال 60 يوم",IF(S443&lt;='القوائم والإعدادات'!$E$2,"خلال 90 يوم",""))),"")</f>
        <v/>
      </c>
      <c r="U443" s="7" t="str">
        <f>IF(B443="","",COUNTIF(التمديدات!$A$2:$A$301,B443))</f>
        <v/>
      </c>
      <c r="V443" s="10"/>
      <c r="W443" s="10"/>
      <c r="X443" s="7" t="str">
        <f t="shared" si="22"/>
        <v/>
      </c>
    </row>
    <row r="444" spans="1:24">
      <c r="A444" s="7">
        <v>443</v>
      </c>
      <c r="B444" s="10"/>
      <c r="C444" s="10"/>
      <c r="D444" s="10"/>
      <c r="E444" s="10"/>
      <c r="F444" s="10"/>
      <c r="G444" s="11"/>
      <c r="H444" s="11"/>
      <c r="I444" s="11"/>
      <c r="J444" s="12" t="str">
        <f>IF(B444="","",MAX(I444,_xlfn.MAXIFS(التمديدات!$C$2:$C$301,التمديدات!$A$2:$A$301,B444)))</f>
        <v/>
      </c>
      <c r="K444" s="7" t="str">
        <f t="shared" si="20"/>
        <v/>
      </c>
      <c r="L444" s="26"/>
      <c r="M444" s="27"/>
      <c r="N444" s="10"/>
      <c r="O444" s="10"/>
      <c r="P444" s="10"/>
      <c r="Q444" s="10"/>
      <c r="R444" s="7" t="str">
        <f ca="1">IF(B444="","",IF(Q444&lt;&gt;"",Q444,IF(H444&gt;TODAY(),"لم يبدأ بعد",IF(J444&lt;TODAY(),"منتهٍ",IF(J444-TODAY()&lt;='القوائم والإعدادات'!$E$2,"قريب الانتهاء","ساري")))))</f>
        <v/>
      </c>
      <c r="S444" s="7" t="str">
        <f t="shared" ca="1" si="21"/>
        <v/>
      </c>
      <c r="T444" s="7" t="str">
        <f ca="1">IF(OR(R444="ساري",R444="قريب الانتهاء"),IF(S444&lt;='القوائم والإعدادات'!$E$4,"عاجل",IF(S444&lt;='القوائم والإعدادات'!$E$3,"خلال 60 يوم",IF(S444&lt;='القوائم والإعدادات'!$E$2,"خلال 90 يوم",""))),"")</f>
        <v/>
      </c>
      <c r="U444" s="7" t="str">
        <f>IF(B444="","",COUNTIF(التمديدات!$A$2:$A$301,B444))</f>
        <v/>
      </c>
      <c r="V444" s="10"/>
      <c r="W444" s="10"/>
      <c r="X444" s="7" t="str">
        <f t="shared" si="22"/>
        <v/>
      </c>
    </row>
    <row r="445" spans="1:24">
      <c r="A445" s="7">
        <v>444</v>
      </c>
      <c r="B445" s="10"/>
      <c r="C445" s="10"/>
      <c r="D445" s="10"/>
      <c r="E445" s="10"/>
      <c r="F445" s="10"/>
      <c r="G445" s="11"/>
      <c r="H445" s="11"/>
      <c r="I445" s="11"/>
      <c r="J445" s="12" t="str">
        <f>IF(B445="","",MAX(I445,_xlfn.MAXIFS(التمديدات!$C$2:$C$301,التمديدات!$A$2:$A$301,B445)))</f>
        <v/>
      </c>
      <c r="K445" s="7" t="str">
        <f t="shared" si="20"/>
        <v/>
      </c>
      <c r="L445" s="26"/>
      <c r="M445" s="27"/>
      <c r="N445" s="10"/>
      <c r="O445" s="10"/>
      <c r="P445" s="10"/>
      <c r="Q445" s="10"/>
      <c r="R445" s="7" t="str">
        <f ca="1">IF(B445="","",IF(Q445&lt;&gt;"",Q445,IF(H445&gt;TODAY(),"لم يبدأ بعد",IF(J445&lt;TODAY(),"منتهٍ",IF(J445-TODAY()&lt;='القوائم والإعدادات'!$E$2,"قريب الانتهاء","ساري")))))</f>
        <v/>
      </c>
      <c r="S445" s="7" t="str">
        <f t="shared" ca="1" si="21"/>
        <v/>
      </c>
      <c r="T445" s="7" t="str">
        <f ca="1">IF(OR(R445="ساري",R445="قريب الانتهاء"),IF(S445&lt;='القوائم والإعدادات'!$E$4,"عاجل",IF(S445&lt;='القوائم والإعدادات'!$E$3,"خلال 60 يوم",IF(S445&lt;='القوائم والإعدادات'!$E$2,"خلال 90 يوم",""))),"")</f>
        <v/>
      </c>
      <c r="U445" s="7" t="str">
        <f>IF(B445="","",COUNTIF(التمديدات!$A$2:$A$301,B445))</f>
        <v/>
      </c>
      <c r="V445" s="10"/>
      <c r="W445" s="10"/>
      <c r="X445" s="7" t="str">
        <f t="shared" si="22"/>
        <v/>
      </c>
    </row>
    <row r="446" spans="1:24">
      <c r="A446" s="7">
        <v>445</v>
      </c>
      <c r="B446" s="10"/>
      <c r="C446" s="10"/>
      <c r="D446" s="10"/>
      <c r="E446" s="10"/>
      <c r="F446" s="10"/>
      <c r="G446" s="11"/>
      <c r="H446" s="11"/>
      <c r="I446" s="11"/>
      <c r="J446" s="12" t="str">
        <f>IF(B446="","",MAX(I446,_xlfn.MAXIFS(التمديدات!$C$2:$C$301,التمديدات!$A$2:$A$301,B446)))</f>
        <v/>
      </c>
      <c r="K446" s="7" t="str">
        <f t="shared" si="20"/>
        <v/>
      </c>
      <c r="L446" s="26"/>
      <c r="M446" s="27"/>
      <c r="N446" s="10"/>
      <c r="O446" s="10"/>
      <c r="P446" s="10"/>
      <c r="Q446" s="10"/>
      <c r="R446" s="7" t="str">
        <f ca="1">IF(B446="","",IF(Q446&lt;&gt;"",Q446,IF(H446&gt;TODAY(),"لم يبدأ بعد",IF(J446&lt;TODAY(),"منتهٍ",IF(J446-TODAY()&lt;='القوائم والإعدادات'!$E$2,"قريب الانتهاء","ساري")))))</f>
        <v/>
      </c>
      <c r="S446" s="7" t="str">
        <f t="shared" ca="1" si="21"/>
        <v/>
      </c>
      <c r="T446" s="7" t="str">
        <f ca="1">IF(OR(R446="ساري",R446="قريب الانتهاء"),IF(S446&lt;='القوائم والإعدادات'!$E$4,"عاجل",IF(S446&lt;='القوائم والإعدادات'!$E$3,"خلال 60 يوم",IF(S446&lt;='القوائم والإعدادات'!$E$2,"خلال 90 يوم",""))),"")</f>
        <v/>
      </c>
      <c r="U446" s="7" t="str">
        <f>IF(B446="","",COUNTIF(التمديدات!$A$2:$A$301,B446))</f>
        <v/>
      </c>
      <c r="V446" s="10"/>
      <c r="W446" s="10"/>
      <c r="X446" s="7" t="str">
        <f t="shared" si="22"/>
        <v/>
      </c>
    </row>
    <row r="447" spans="1:24">
      <c r="A447" s="7">
        <v>446</v>
      </c>
      <c r="B447" s="10"/>
      <c r="C447" s="10"/>
      <c r="D447" s="10"/>
      <c r="E447" s="10"/>
      <c r="F447" s="10"/>
      <c r="G447" s="11"/>
      <c r="H447" s="11"/>
      <c r="I447" s="11"/>
      <c r="J447" s="12" t="str">
        <f>IF(B447="","",MAX(I447,_xlfn.MAXIFS(التمديدات!$C$2:$C$301,التمديدات!$A$2:$A$301,B447)))</f>
        <v/>
      </c>
      <c r="K447" s="7" t="str">
        <f t="shared" si="20"/>
        <v/>
      </c>
      <c r="L447" s="26"/>
      <c r="M447" s="27"/>
      <c r="N447" s="10"/>
      <c r="O447" s="10"/>
      <c r="P447" s="10"/>
      <c r="Q447" s="10"/>
      <c r="R447" s="7" t="str">
        <f ca="1">IF(B447="","",IF(Q447&lt;&gt;"",Q447,IF(H447&gt;TODAY(),"لم يبدأ بعد",IF(J447&lt;TODAY(),"منتهٍ",IF(J447-TODAY()&lt;='القوائم والإعدادات'!$E$2,"قريب الانتهاء","ساري")))))</f>
        <v/>
      </c>
      <c r="S447" s="7" t="str">
        <f t="shared" ca="1" si="21"/>
        <v/>
      </c>
      <c r="T447" s="7" t="str">
        <f ca="1">IF(OR(R447="ساري",R447="قريب الانتهاء"),IF(S447&lt;='القوائم والإعدادات'!$E$4,"عاجل",IF(S447&lt;='القوائم والإعدادات'!$E$3,"خلال 60 يوم",IF(S447&lt;='القوائم والإعدادات'!$E$2,"خلال 90 يوم",""))),"")</f>
        <v/>
      </c>
      <c r="U447" s="7" t="str">
        <f>IF(B447="","",COUNTIF(التمديدات!$A$2:$A$301,B447))</f>
        <v/>
      </c>
      <c r="V447" s="10"/>
      <c r="W447" s="10"/>
      <c r="X447" s="7" t="str">
        <f t="shared" si="22"/>
        <v/>
      </c>
    </row>
    <row r="448" spans="1:24">
      <c r="A448" s="7">
        <v>447</v>
      </c>
      <c r="B448" s="10"/>
      <c r="C448" s="10"/>
      <c r="D448" s="10"/>
      <c r="E448" s="10"/>
      <c r="F448" s="10"/>
      <c r="G448" s="11"/>
      <c r="H448" s="11"/>
      <c r="I448" s="11"/>
      <c r="J448" s="12" t="str">
        <f>IF(B448="","",MAX(I448,_xlfn.MAXIFS(التمديدات!$C$2:$C$301,التمديدات!$A$2:$A$301,B448)))</f>
        <v/>
      </c>
      <c r="K448" s="7" t="str">
        <f t="shared" si="20"/>
        <v/>
      </c>
      <c r="L448" s="26"/>
      <c r="M448" s="27"/>
      <c r="N448" s="10"/>
      <c r="O448" s="10"/>
      <c r="P448" s="10"/>
      <c r="Q448" s="10"/>
      <c r="R448" s="7" t="str">
        <f ca="1">IF(B448="","",IF(Q448&lt;&gt;"",Q448,IF(H448&gt;TODAY(),"لم يبدأ بعد",IF(J448&lt;TODAY(),"منتهٍ",IF(J448-TODAY()&lt;='القوائم والإعدادات'!$E$2,"قريب الانتهاء","ساري")))))</f>
        <v/>
      </c>
      <c r="S448" s="7" t="str">
        <f t="shared" ca="1" si="21"/>
        <v/>
      </c>
      <c r="T448" s="7" t="str">
        <f ca="1">IF(OR(R448="ساري",R448="قريب الانتهاء"),IF(S448&lt;='القوائم والإعدادات'!$E$4,"عاجل",IF(S448&lt;='القوائم والإعدادات'!$E$3,"خلال 60 يوم",IF(S448&lt;='القوائم والإعدادات'!$E$2,"خلال 90 يوم",""))),"")</f>
        <v/>
      </c>
      <c r="U448" s="7" t="str">
        <f>IF(B448="","",COUNTIF(التمديدات!$A$2:$A$301,B448))</f>
        <v/>
      </c>
      <c r="V448" s="10"/>
      <c r="W448" s="10"/>
      <c r="X448" s="7" t="str">
        <f t="shared" si="22"/>
        <v/>
      </c>
    </row>
    <row r="449" spans="1:24">
      <c r="A449" s="7">
        <v>448</v>
      </c>
      <c r="B449" s="10"/>
      <c r="C449" s="10"/>
      <c r="D449" s="10"/>
      <c r="E449" s="10"/>
      <c r="F449" s="10"/>
      <c r="G449" s="11"/>
      <c r="H449" s="11"/>
      <c r="I449" s="11"/>
      <c r="J449" s="12" t="str">
        <f>IF(B449="","",MAX(I449,_xlfn.MAXIFS(التمديدات!$C$2:$C$301,التمديدات!$A$2:$A$301,B449)))</f>
        <v/>
      </c>
      <c r="K449" s="7" t="str">
        <f t="shared" si="20"/>
        <v/>
      </c>
      <c r="L449" s="26"/>
      <c r="M449" s="27"/>
      <c r="N449" s="10"/>
      <c r="O449" s="10"/>
      <c r="P449" s="10"/>
      <c r="Q449" s="10"/>
      <c r="R449" s="7" t="str">
        <f ca="1">IF(B449="","",IF(Q449&lt;&gt;"",Q449,IF(H449&gt;TODAY(),"لم يبدأ بعد",IF(J449&lt;TODAY(),"منتهٍ",IF(J449-TODAY()&lt;='القوائم والإعدادات'!$E$2,"قريب الانتهاء","ساري")))))</f>
        <v/>
      </c>
      <c r="S449" s="7" t="str">
        <f t="shared" ca="1" si="21"/>
        <v/>
      </c>
      <c r="T449" s="7" t="str">
        <f ca="1">IF(OR(R449="ساري",R449="قريب الانتهاء"),IF(S449&lt;='القوائم والإعدادات'!$E$4,"عاجل",IF(S449&lt;='القوائم والإعدادات'!$E$3,"خلال 60 يوم",IF(S449&lt;='القوائم والإعدادات'!$E$2,"خلال 90 يوم",""))),"")</f>
        <v/>
      </c>
      <c r="U449" s="7" t="str">
        <f>IF(B449="","",COUNTIF(التمديدات!$A$2:$A$301,B449))</f>
        <v/>
      </c>
      <c r="V449" s="10"/>
      <c r="W449" s="10"/>
      <c r="X449" s="7" t="str">
        <f t="shared" si="22"/>
        <v/>
      </c>
    </row>
    <row r="450" spans="1:24">
      <c r="A450" s="7">
        <v>449</v>
      </c>
      <c r="B450" s="10"/>
      <c r="C450" s="10"/>
      <c r="D450" s="10"/>
      <c r="E450" s="10"/>
      <c r="F450" s="10"/>
      <c r="G450" s="11"/>
      <c r="H450" s="11"/>
      <c r="I450" s="11"/>
      <c r="J450" s="12" t="str">
        <f>IF(B450="","",MAX(I450,_xlfn.MAXIFS(التمديدات!$C$2:$C$301,التمديدات!$A$2:$A$301,B450)))</f>
        <v/>
      </c>
      <c r="K450" s="7" t="str">
        <f t="shared" ref="K450:K501" si="23">IF(OR(H450="",I450=""),"",ROUND((I450-H450)/30.4,0))</f>
        <v/>
      </c>
      <c r="L450" s="26"/>
      <c r="M450" s="27"/>
      <c r="N450" s="10"/>
      <c r="O450" s="10"/>
      <c r="P450" s="10"/>
      <c r="Q450" s="10"/>
      <c r="R450" s="7" t="str">
        <f ca="1">IF(B450="","",IF(Q450&lt;&gt;"",Q450,IF(H450&gt;TODAY(),"لم يبدأ بعد",IF(J450&lt;TODAY(),"منتهٍ",IF(J450-TODAY()&lt;='القوائم والإعدادات'!$E$2,"قريب الانتهاء","ساري")))))</f>
        <v/>
      </c>
      <c r="S450" s="7" t="str">
        <f t="shared" ca="1" si="21"/>
        <v/>
      </c>
      <c r="T450" s="7" t="str">
        <f ca="1">IF(OR(R450="ساري",R450="قريب الانتهاء"),IF(S450&lt;='القوائم والإعدادات'!$E$4,"عاجل",IF(S450&lt;='القوائم والإعدادات'!$E$3,"خلال 60 يوم",IF(S450&lt;='القوائم والإعدادات'!$E$2,"خلال 90 يوم",""))),"")</f>
        <v/>
      </c>
      <c r="U450" s="7" t="str">
        <f>IF(B450="","",COUNTIF(التمديدات!$A$2:$A$301,B450))</f>
        <v/>
      </c>
      <c r="V450" s="10"/>
      <c r="W450" s="10"/>
      <c r="X450" s="7" t="str">
        <f t="shared" si="22"/>
        <v/>
      </c>
    </row>
    <row r="451" spans="1:24">
      <c r="A451" s="7">
        <v>450</v>
      </c>
      <c r="B451" s="10"/>
      <c r="C451" s="10"/>
      <c r="D451" s="10"/>
      <c r="E451" s="10"/>
      <c r="F451" s="10"/>
      <c r="G451" s="11"/>
      <c r="H451" s="11"/>
      <c r="I451" s="11"/>
      <c r="J451" s="12" t="str">
        <f>IF(B451="","",MAX(I451,_xlfn.MAXIFS(التمديدات!$C$2:$C$301,التمديدات!$A$2:$A$301,B451)))</f>
        <v/>
      </c>
      <c r="K451" s="7" t="str">
        <f t="shared" si="23"/>
        <v/>
      </c>
      <c r="L451" s="26"/>
      <c r="M451" s="27"/>
      <c r="N451" s="10"/>
      <c r="O451" s="10"/>
      <c r="P451" s="10"/>
      <c r="Q451" s="10"/>
      <c r="R451" s="7" t="str">
        <f ca="1">IF(B451="","",IF(Q451&lt;&gt;"",Q451,IF(H451&gt;TODAY(),"لم يبدأ بعد",IF(J451&lt;TODAY(),"منتهٍ",IF(J451-TODAY()&lt;='القوائم والإعدادات'!$E$2,"قريب الانتهاء","ساري")))))</f>
        <v/>
      </c>
      <c r="S451" s="7" t="str">
        <f t="shared" ca="1" si="21"/>
        <v/>
      </c>
      <c r="T451" s="7" t="str">
        <f ca="1">IF(OR(R451="ساري",R451="قريب الانتهاء"),IF(S451&lt;='القوائم والإعدادات'!$E$4,"عاجل",IF(S451&lt;='القوائم والإعدادات'!$E$3,"خلال 60 يوم",IF(S451&lt;='القوائم والإعدادات'!$E$2,"خلال 90 يوم",""))),"")</f>
        <v/>
      </c>
      <c r="U451" s="7" t="str">
        <f>IF(B451="","",COUNTIF(التمديدات!$A$2:$A$301,B451))</f>
        <v/>
      </c>
      <c r="V451" s="10"/>
      <c r="W451" s="10"/>
      <c r="X451" s="7" t="str">
        <f t="shared" si="22"/>
        <v/>
      </c>
    </row>
    <row r="452" spans="1:24">
      <c r="A452" s="7">
        <v>451</v>
      </c>
      <c r="B452" s="10"/>
      <c r="C452" s="10"/>
      <c r="D452" s="10"/>
      <c r="E452" s="10"/>
      <c r="F452" s="10"/>
      <c r="G452" s="11"/>
      <c r="H452" s="11"/>
      <c r="I452" s="11"/>
      <c r="J452" s="12" t="str">
        <f>IF(B452="","",MAX(I452,_xlfn.MAXIFS(التمديدات!$C$2:$C$301,التمديدات!$A$2:$A$301,B452)))</f>
        <v/>
      </c>
      <c r="K452" s="7" t="str">
        <f t="shared" si="23"/>
        <v/>
      </c>
      <c r="L452" s="26"/>
      <c r="M452" s="27"/>
      <c r="N452" s="10"/>
      <c r="O452" s="10"/>
      <c r="P452" s="10"/>
      <c r="Q452" s="10"/>
      <c r="R452" s="7" t="str">
        <f ca="1">IF(B452="","",IF(Q452&lt;&gt;"",Q452,IF(H452&gt;TODAY(),"لم يبدأ بعد",IF(J452&lt;TODAY(),"منتهٍ",IF(J452-TODAY()&lt;='القوائم والإعدادات'!$E$2,"قريب الانتهاء","ساري")))))</f>
        <v/>
      </c>
      <c r="S452" s="7" t="str">
        <f t="shared" ca="1" si="21"/>
        <v/>
      </c>
      <c r="T452" s="7" t="str">
        <f ca="1">IF(OR(R452="ساري",R452="قريب الانتهاء"),IF(S452&lt;='القوائم والإعدادات'!$E$4,"عاجل",IF(S452&lt;='القوائم والإعدادات'!$E$3,"خلال 60 يوم",IF(S452&lt;='القوائم والإعدادات'!$E$2,"خلال 90 يوم",""))),"")</f>
        <v/>
      </c>
      <c r="U452" s="7" t="str">
        <f>IF(B452="","",COUNTIF(التمديدات!$A$2:$A$301,B452))</f>
        <v/>
      </c>
      <c r="V452" s="10"/>
      <c r="W452" s="10"/>
      <c r="X452" s="7" t="str">
        <f t="shared" si="22"/>
        <v/>
      </c>
    </row>
    <row r="453" spans="1:24">
      <c r="A453" s="7">
        <v>452</v>
      </c>
      <c r="B453" s="10"/>
      <c r="C453" s="10"/>
      <c r="D453" s="10"/>
      <c r="E453" s="10"/>
      <c r="F453" s="10"/>
      <c r="G453" s="11"/>
      <c r="H453" s="11"/>
      <c r="I453" s="11"/>
      <c r="J453" s="12" t="str">
        <f>IF(B453="","",MAX(I453,_xlfn.MAXIFS(التمديدات!$C$2:$C$301,التمديدات!$A$2:$A$301,B453)))</f>
        <v/>
      </c>
      <c r="K453" s="7" t="str">
        <f t="shared" si="23"/>
        <v/>
      </c>
      <c r="L453" s="26"/>
      <c r="M453" s="27"/>
      <c r="N453" s="10"/>
      <c r="O453" s="10"/>
      <c r="P453" s="10"/>
      <c r="Q453" s="10"/>
      <c r="R453" s="7" t="str">
        <f ca="1">IF(B453="","",IF(Q453&lt;&gt;"",Q453,IF(H453&gt;TODAY(),"لم يبدأ بعد",IF(J453&lt;TODAY(),"منتهٍ",IF(J453-TODAY()&lt;='القوائم والإعدادات'!$E$2,"قريب الانتهاء","ساري")))))</f>
        <v/>
      </c>
      <c r="S453" s="7" t="str">
        <f t="shared" ca="1" si="21"/>
        <v/>
      </c>
      <c r="T453" s="7" t="str">
        <f ca="1">IF(OR(R453="ساري",R453="قريب الانتهاء"),IF(S453&lt;='القوائم والإعدادات'!$E$4,"عاجل",IF(S453&lt;='القوائم والإعدادات'!$E$3,"خلال 60 يوم",IF(S453&lt;='القوائم والإعدادات'!$E$2,"خلال 90 يوم",""))),"")</f>
        <v/>
      </c>
      <c r="U453" s="7" t="str">
        <f>IF(B453="","",COUNTIF(التمديدات!$A$2:$A$301,B453))</f>
        <v/>
      </c>
      <c r="V453" s="10"/>
      <c r="W453" s="10"/>
      <c r="X453" s="7" t="str">
        <f t="shared" si="22"/>
        <v/>
      </c>
    </row>
    <row r="454" spans="1:24">
      <c r="A454" s="7">
        <v>453</v>
      </c>
      <c r="B454" s="10"/>
      <c r="C454" s="10"/>
      <c r="D454" s="10"/>
      <c r="E454" s="10"/>
      <c r="F454" s="10"/>
      <c r="G454" s="11"/>
      <c r="H454" s="11"/>
      <c r="I454" s="11"/>
      <c r="J454" s="12" t="str">
        <f>IF(B454="","",MAX(I454,_xlfn.MAXIFS(التمديدات!$C$2:$C$301,التمديدات!$A$2:$A$301,B454)))</f>
        <v/>
      </c>
      <c r="K454" s="7" t="str">
        <f t="shared" si="23"/>
        <v/>
      </c>
      <c r="L454" s="26"/>
      <c r="M454" s="27"/>
      <c r="N454" s="10"/>
      <c r="O454" s="10"/>
      <c r="P454" s="10"/>
      <c r="Q454" s="10"/>
      <c r="R454" s="7" t="str">
        <f ca="1">IF(B454="","",IF(Q454&lt;&gt;"",Q454,IF(H454&gt;TODAY(),"لم يبدأ بعد",IF(J454&lt;TODAY(),"منتهٍ",IF(J454-TODAY()&lt;='القوائم والإعدادات'!$E$2,"قريب الانتهاء","ساري")))))</f>
        <v/>
      </c>
      <c r="S454" s="7" t="str">
        <f t="shared" ca="1" si="21"/>
        <v/>
      </c>
      <c r="T454" s="7" t="str">
        <f ca="1">IF(OR(R454="ساري",R454="قريب الانتهاء"),IF(S454&lt;='القوائم والإعدادات'!$E$4,"عاجل",IF(S454&lt;='القوائم والإعدادات'!$E$3,"خلال 60 يوم",IF(S454&lt;='القوائم والإعدادات'!$E$2,"خلال 90 يوم",""))),"")</f>
        <v/>
      </c>
      <c r="U454" s="7" t="str">
        <f>IF(B454="","",COUNTIF(التمديدات!$A$2:$A$301,B454))</f>
        <v/>
      </c>
      <c r="V454" s="10"/>
      <c r="W454" s="10"/>
      <c r="X454" s="7" t="str">
        <f t="shared" si="22"/>
        <v/>
      </c>
    </row>
    <row r="455" spans="1:24">
      <c r="A455" s="7">
        <v>454</v>
      </c>
      <c r="B455" s="10"/>
      <c r="C455" s="10"/>
      <c r="D455" s="10"/>
      <c r="E455" s="10"/>
      <c r="F455" s="10"/>
      <c r="G455" s="11"/>
      <c r="H455" s="11"/>
      <c r="I455" s="11"/>
      <c r="J455" s="12" t="str">
        <f>IF(B455="","",MAX(I455,_xlfn.MAXIFS(التمديدات!$C$2:$C$301,التمديدات!$A$2:$A$301,B455)))</f>
        <v/>
      </c>
      <c r="K455" s="7" t="str">
        <f t="shared" si="23"/>
        <v/>
      </c>
      <c r="L455" s="26"/>
      <c r="M455" s="27"/>
      <c r="N455" s="10"/>
      <c r="O455" s="10"/>
      <c r="P455" s="10"/>
      <c r="Q455" s="10"/>
      <c r="R455" s="7" t="str">
        <f ca="1">IF(B455="","",IF(Q455&lt;&gt;"",Q455,IF(H455&gt;TODAY(),"لم يبدأ بعد",IF(J455&lt;TODAY(),"منتهٍ",IF(J455-TODAY()&lt;='القوائم والإعدادات'!$E$2,"قريب الانتهاء","ساري")))))</f>
        <v/>
      </c>
      <c r="S455" s="7" t="str">
        <f t="shared" ca="1" si="21"/>
        <v/>
      </c>
      <c r="T455" s="7" t="str">
        <f ca="1">IF(OR(R455="ساري",R455="قريب الانتهاء"),IF(S455&lt;='القوائم والإعدادات'!$E$4,"عاجل",IF(S455&lt;='القوائم والإعدادات'!$E$3,"خلال 60 يوم",IF(S455&lt;='القوائم والإعدادات'!$E$2,"خلال 90 يوم",""))),"")</f>
        <v/>
      </c>
      <c r="U455" s="7" t="str">
        <f>IF(B455="","",COUNTIF(التمديدات!$A$2:$A$301,B455))</f>
        <v/>
      </c>
      <c r="V455" s="10"/>
      <c r="W455" s="10"/>
      <c r="X455" s="7" t="str">
        <f t="shared" si="22"/>
        <v/>
      </c>
    </row>
    <row r="456" spans="1:24">
      <c r="A456" s="7">
        <v>455</v>
      </c>
      <c r="B456" s="10"/>
      <c r="C456" s="10"/>
      <c r="D456" s="10"/>
      <c r="E456" s="10"/>
      <c r="F456" s="10"/>
      <c r="G456" s="11"/>
      <c r="H456" s="11"/>
      <c r="I456" s="11"/>
      <c r="J456" s="12" t="str">
        <f>IF(B456="","",MAX(I456,_xlfn.MAXIFS(التمديدات!$C$2:$C$301,التمديدات!$A$2:$A$301,B456)))</f>
        <v/>
      </c>
      <c r="K456" s="7" t="str">
        <f t="shared" si="23"/>
        <v/>
      </c>
      <c r="L456" s="26"/>
      <c r="M456" s="27"/>
      <c r="N456" s="10"/>
      <c r="O456" s="10"/>
      <c r="P456" s="10"/>
      <c r="Q456" s="10"/>
      <c r="R456" s="7" t="str">
        <f ca="1">IF(B456="","",IF(Q456&lt;&gt;"",Q456,IF(H456&gt;TODAY(),"لم يبدأ بعد",IF(J456&lt;TODAY(),"منتهٍ",IF(J456-TODAY()&lt;='القوائم والإعدادات'!$E$2,"قريب الانتهاء","ساري")))))</f>
        <v/>
      </c>
      <c r="S456" s="7" t="str">
        <f t="shared" ca="1" si="21"/>
        <v/>
      </c>
      <c r="T456" s="7" t="str">
        <f ca="1">IF(OR(R456="ساري",R456="قريب الانتهاء"),IF(S456&lt;='القوائم والإعدادات'!$E$4,"عاجل",IF(S456&lt;='القوائم والإعدادات'!$E$3,"خلال 60 يوم",IF(S456&lt;='القوائم والإعدادات'!$E$2,"خلال 90 يوم",""))),"")</f>
        <v/>
      </c>
      <c r="U456" s="7" t="str">
        <f>IF(B456="","",COUNTIF(التمديدات!$A$2:$A$301,B456))</f>
        <v/>
      </c>
      <c r="V456" s="10"/>
      <c r="W456" s="10"/>
      <c r="X456" s="7" t="str">
        <f t="shared" si="22"/>
        <v/>
      </c>
    </row>
    <row r="457" spans="1:24">
      <c r="A457" s="7">
        <v>456</v>
      </c>
      <c r="B457" s="10"/>
      <c r="C457" s="10"/>
      <c r="D457" s="10"/>
      <c r="E457" s="10"/>
      <c r="F457" s="10"/>
      <c r="G457" s="11"/>
      <c r="H457" s="11"/>
      <c r="I457" s="11"/>
      <c r="J457" s="12" t="str">
        <f>IF(B457="","",MAX(I457,_xlfn.MAXIFS(التمديدات!$C$2:$C$301,التمديدات!$A$2:$A$301,B457)))</f>
        <v/>
      </c>
      <c r="K457" s="7" t="str">
        <f t="shared" si="23"/>
        <v/>
      </c>
      <c r="L457" s="26"/>
      <c r="M457" s="27"/>
      <c r="N457" s="10"/>
      <c r="O457" s="10"/>
      <c r="P457" s="10"/>
      <c r="Q457" s="10"/>
      <c r="R457" s="7" t="str">
        <f ca="1">IF(B457="","",IF(Q457&lt;&gt;"",Q457,IF(H457&gt;TODAY(),"لم يبدأ بعد",IF(J457&lt;TODAY(),"منتهٍ",IF(J457-TODAY()&lt;='القوائم والإعدادات'!$E$2,"قريب الانتهاء","ساري")))))</f>
        <v/>
      </c>
      <c r="S457" s="7" t="str">
        <f t="shared" ca="1" si="21"/>
        <v/>
      </c>
      <c r="T457" s="7" t="str">
        <f ca="1">IF(OR(R457="ساري",R457="قريب الانتهاء"),IF(S457&lt;='القوائم والإعدادات'!$E$4,"عاجل",IF(S457&lt;='القوائم والإعدادات'!$E$3,"خلال 60 يوم",IF(S457&lt;='القوائم والإعدادات'!$E$2,"خلال 90 يوم",""))),"")</f>
        <v/>
      </c>
      <c r="U457" s="7" t="str">
        <f>IF(B457="","",COUNTIF(التمديدات!$A$2:$A$301,B457))</f>
        <v/>
      </c>
      <c r="V457" s="10"/>
      <c r="W457" s="10"/>
      <c r="X457" s="7" t="str">
        <f t="shared" si="22"/>
        <v/>
      </c>
    </row>
    <row r="458" spans="1:24">
      <c r="A458" s="7">
        <v>457</v>
      </c>
      <c r="B458" s="10"/>
      <c r="C458" s="10"/>
      <c r="D458" s="10"/>
      <c r="E458" s="10"/>
      <c r="F458" s="10"/>
      <c r="G458" s="11"/>
      <c r="H458" s="11"/>
      <c r="I458" s="11"/>
      <c r="J458" s="12" t="str">
        <f>IF(B458="","",MAX(I458,_xlfn.MAXIFS(التمديدات!$C$2:$C$301,التمديدات!$A$2:$A$301,B458)))</f>
        <v/>
      </c>
      <c r="K458" s="7" t="str">
        <f t="shared" si="23"/>
        <v/>
      </c>
      <c r="L458" s="26"/>
      <c r="M458" s="27"/>
      <c r="N458" s="10"/>
      <c r="O458" s="10"/>
      <c r="P458" s="10"/>
      <c r="Q458" s="10"/>
      <c r="R458" s="7" t="str">
        <f ca="1">IF(B458="","",IF(Q458&lt;&gt;"",Q458,IF(H458&gt;TODAY(),"لم يبدأ بعد",IF(J458&lt;TODAY(),"منتهٍ",IF(J458-TODAY()&lt;='القوائم والإعدادات'!$E$2,"قريب الانتهاء","ساري")))))</f>
        <v/>
      </c>
      <c r="S458" s="7" t="str">
        <f t="shared" ca="1" si="21"/>
        <v/>
      </c>
      <c r="T458" s="7" t="str">
        <f ca="1">IF(OR(R458="ساري",R458="قريب الانتهاء"),IF(S458&lt;='القوائم والإعدادات'!$E$4,"عاجل",IF(S458&lt;='القوائم والإعدادات'!$E$3,"خلال 60 يوم",IF(S458&lt;='القوائم والإعدادات'!$E$2,"خلال 90 يوم",""))),"")</f>
        <v/>
      </c>
      <c r="U458" s="7" t="str">
        <f>IF(B458="","",COUNTIF(التمديدات!$A$2:$A$301,B458))</f>
        <v/>
      </c>
      <c r="V458" s="10"/>
      <c r="W458" s="10"/>
      <c r="X458" s="7" t="str">
        <f t="shared" si="22"/>
        <v/>
      </c>
    </row>
    <row r="459" spans="1:24">
      <c r="A459" s="7">
        <v>458</v>
      </c>
      <c r="B459" s="10"/>
      <c r="C459" s="10"/>
      <c r="D459" s="10"/>
      <c r="E459" s="10"/>
      <c r="F459" s="10"/>
      <c r="G459" s="11"/>
      <c r="H459" s="11"/>
      <c r="I459" s="11"/>
      <c r="J459" s="12" t="str">
        <f>IF(B459="","",MAX(I459,_xlfn.MAXIFS(التمديدات!$C$2:$C$301,التمديدات!$A$2:$A$301,B459)))</f>
        <v/>
      </c>
      <c r="K459" s="7" t="str">
        <f t="shared" si="23"/>
        <v/>
      </c>
      <c r="L459" s="26"/>
      <c r="M459" s="27"/>
      <c r="N459" s="10"/>
      <c r="O459" s="10"/>
      <c r="P459" s="10"/>
      <c r="Q459" s="10"/>
      <c r="R459" s="7" t="str">
        <f ca="1">IF(B459="","",IF(Q459&lt;&gt;"",Q459,IF(H459&gt;TODAY(),"لم يبدأ بعد",IF(J459&lt;TODAY(),"منتهٍ",IF(J459-TODAY()&lt;='القوائم والإعدادات'!$E$2,"قريب الانتهاء","ساري")))))</f>
        <v/>
      </c>
      <c r="S459" s="7" t="str">
        <f t="shared" ca="1" si="21"/>
        <v/>
      </c>
      <c r="T459" s="7" t="str">
        <f ca="1">IF(OR(R459="ساري",R459="قريب الانتهاء"),IF(S459&lt;='القوائم والإعدادات'!$E$4,"عاجل",IF(S459&lt;='القوائم والإعدادات'!$E$3,"خلال 60 يوم",IF(S459&lt;='القوائم والإعدادات'!$E$2,"خلال 90 يوم",""))),"")</f>
        <v/>
      </c>
      <c r="U459" s="7" t="str">
        <f>IF(B459="","",COUNTIF(التمديدات!$A$2:$A$301,B459))</f>
        <v/>
      </c>
      <c r="V459" s="10"/>
      <c r="W459" s="10"/>
      <c r="X459" s="7" t="str">
        <f t="shared" si="22"/>
        <v/>
      </c>
    </row>
    <row r="460" spans="1:24">
      <c r="A460" s="7">
        <v>459</v>
      </c>
      <c r="B460" s="10"/>
      <c r="C460" s="10"/>
      <c r="D460" s="10"/>
      <c r="E460" s="10"/>
      <c r="F460" s="10"/>
      <c r="G460" s="11"/>
      <c r="H460" s="11"/>
      <c r="I460" s="11"/>
      <c r="J460" s="12" t="str">
        <f>IF(B460="","",MAX(I460,_xlfn.MAXIFS(التمديدات!$C$2:$C$301,التمديدات!$A$2:$A$301,B460)))</f>
        <v/>
      </c>
      <c r="K460" s="7" t="str">
        <f t="shared" si="23"/>
        <v/>
      </c>
      <c r="L460" s="26"/>
      <c r="M460" s="27"/>
      <c r="N460" s="10"/>
      <c r="O460" s="10"/>
      <c r="P460" s="10"/>
      <c r="Q460" s="10"/>
      <c r="R460" s="7" t="str">
        <f ca="1">IF(B460="","",IF(Q460&lt;&gt;"",Q460,IF(H460&gt;TODAY(),"لم يبدأ بعد",IF(J460&lt;TODAY(),"منتهٍ",IF(J460-TODAY()&lt;='القوائم والإعدادات'!$E$2,"قريب الانتهاء","ساري")))))</f>
        <v/>
      </c>
      <c r="S460" s="7" t="str">
        <f t="shared" ca="1" si="21"/>
        <v/>
      </c>
      <c r="T460" s="7" t="str">
        <f ca="1">IF(OR(R460="ساري",R460="قريب الانتهاء"),IF(S460&lt;='القوائم والإعدادات'!$E$4,"عاجل",IF(S460&lt;='القوائم والإعدادات'!$E$3,"خلال 60 يوم",IF(S460&lt;='القوائم والإعدادات'!$E$2,"خلال 90 يوم",""))),"")</f>
        <v/>
      </c>
      <c r="U460" s="7" t="str">
        <f>IF(B460="","",COUNTIF(التمديدات!$A$2:$A$301,B460))</f>
        <v/>
      </c>
      <c r="V460" s="10"/>
      <c r="W460" s="10"/>
      <c r="X460" s="7" t="str">
        <f t="shared" si="22"/>
        <v/>
      </c>
    </row>
    <row r="461" spans="1:24">
      <c r="A461" s="7">
        <v>460</v>
      </c>
      <c r="B461" s="10"/>
      <c r="C461" s="10"/>
      <c r="D461" s="10"/>
      <c r="E461" s="10"/>
      <c r="F461" s="10"/>
      <c r="G461" s="11"/>
      <c r="H461" s="11"/>
      <c r="I461" s="11"/>
      <c r="J461" s="12" t="str">
        <f>IF(B461="","",MAX(I461,_xlfn.MAXIFS(التمديدات!$C$2:$C$301,التمديدات!$A$2:$A$301,B461)))</f>
        <v/>
      </c>
      <c r="K461" s="7" t="str">
        <f t="shared" si="23"/>
        <v/>
      </c>
      <c r="L461" s="26"/>
      <c r="M461" s="27"/>
      <c r="N461" s="10"/>
      <c r="O461" s="10"/>
      <c r="P461" s="10"/>
      <c r="Q461" s="10"/>
      <c r="R461" s="7" t="str">
        <f ca="1">IF(B461="","",IF(Q461&lt;&gt;"",Q461,IF(H461&gt;TODAY(),"لم يبدأ بعد",IF(J461&lt;TODAY(),"منتهٍ",IF(J461-TODAY()&lt;='القوائم والإعدادات'!$E$2,"قريب الانتهاء","ساري")))))</f>
        <v/>
      </c>
      <c r="S461" s="7" t="str">
        <f t="shared" ca="1" si="21"/>
        <v/>
      </c>
      <c r="T461" s="7" t="str">
        <f ca="1">IF(OR(R461="ساري",R461="قريب الانتهاء"),IF(S461&lt;='القوائم والإعدادات'!$E$4,"عاجل",IF(S461&lt;='القوائم والإعدادات'!$E$3,"خلال 60 يوم",IF(S461&lt;='القوائم والإعدادات'!$E$2,"خلال 90 يوم",""))),"")</f>
        <v/>
      </c>
      <c r="U461" s="7" t="str">
        <f>IF(B461="","",COUNTIF(التمديدات!$A$2:$A$301,B461))</f>
        <v/>
      </c>
      <c r="V461" s="10"/>
      <c r="W461" s="10"/>
      <c r="X461" s="7" t="str">
        <f t="shared" si="22"/>
        <v/>
      </c>
    </row>
    <row r="462" spans="1:24">
      <c r="A462" s="7">
        <v>461</v>
      </c>
      <c r="B462" s="10"/>
      <c r="C462" s="10"/>
      <c r="D462" s="10"/>
      <c r="E462" s="10"/>
      <c r="F462" s="10"/>
      <c r="G462" s="11"/>
      <c r="H462" s="11"/>
      <c r="I462" s="11"/>
      <c r="J462" s="12" t="str">
        <f>IF(B462="","",MAX(I462,_xlfn.MAXIFS(التمديدات!$C$2:$C$301,التمديدات!$A$2:$A$301,B462)))</f>
        <v/>
      </c>
      <c r="K462" s="7" t="str">
        <f t="shared" si="23"/>
        <v/>
      </c>
      <c r="L462" s="26"/>
      <c r="M462" s="27"/>
      <c r="N462" s="10"/>
      <c r="O462" s="10"/>
      <c r="P462" s="10"/>
      <c r="Q462" s="10"/>
      <c r="R462" s="7" t="str">
        <f ca="1">IF(B462="","",IF(Q462&lt;&gt;"",Q462,IF(H462&gt;TODAY(),"لم يبدأ بعد",IF(J462&lt;TODAY(),"منتهٍ",IF(J462-TODAY()&lt;='القوائم والإعدادات'!$E$2,"قريب الانتهاء","ساري")))))</f>
        <v/>
      </c>
      <c r="S462" s="7" t="str">
        <f t="shared" ca="1" si="21"/>
        <v/>
      </c>
      <c r="T462" s="7" t="str">
        <f ca="1">IF(OR(R462="ساري",R462="قريب الانتهاء"),IF(S462&lt;='القوائم والإعدادات'!$E$4,"عاجل",IF(S462&lt;='القوائم والإعدادات'!$E$3,"خلال 60 يوم",IF(S462&lt;='القوائم والإعدادات'!$E$2,"خلال 90 يوم",""))),"")</f>
        <v/>
      </c>
      <c r="U462" s="7" t="str">
        <f>IF(B462="","",COUNTIF(التمديدات!$A$2:$A$301,B462))</f>
        <v/>
      </c>
      <c r="V462" s="10"/>
      <c r="W462" s="10"/>
      <c r="X462" s="7" t="str">
        <f t="shared" si="22"/>
        <v/>
      </c>
    </row>
    <row r="463" spans="1:24">
      <c r="A463" s="7">
        <v>462</v>
      </c>
      <c r="B463" s="10"/>
      <c r="C463" s="10"/>
      <c r="D463" s="10"/>
      <c r="E463" s="10"/>
      <c r="F463" s="10"/>
      <c r="G463" s="11"/>
      <c r="H463" s="11"/>
      <c r="I463" s="11"/>
      <c r="J463" s="12" t="str">
        <f>IF(B463="","",MAX(I463,_xlfn.MAXIFS(التمديدات!$C$2:$C$301,التمديدات!$A$2:$A$301,B463)))</f>
        <v/>
      </c>
      <c r="K463" s="7" t="str">
        <f t="shared" si="23"/>
        <v/>
      </c>
      <c r="L463" s="26"/>
      <c r="M463" s="27"/>
      <c r="N463" s="10"/>
      <c r="O463" s="10"/>
      <c r="P463" s="10"/>
      <c r="Q463" s="10"/>
      <c r="R463" s="7" t="str">
        <f ca="1">IF(B463="","",IF(Q463&lt;&gt;"",Q463,IF(H463&gt;TODAY(),"لم يبدأ بعد",IF(J463&lt;TODAY(),"منتهٍ",IF(J463-TODAY()&lt;='القوائم والإعدادات'!$E$2,"قريب الانتهاء","ساري")))))</f>
        <v/>
      </c>
      <c r="S463" s="7" t="str">
        <f t="shared" ca="1" si="21"/>
        <v/>
      </c>
      <c r="T463" s="7" t="str">
        <f ca="1">IF(OR(R463="ساري",R463="قريب الانتهاء"),IF(S463&lt;='القوائم والإعدادات'!$E$4,"عاجل",IF(S463&lt;='القوائم والإعدادات'!$E$3,"خلال 60 يوم",IF(S463&lt;='القوائم والإعدادات'!$E$2,"خلال 90 يوم",""))),"")</f>
        <v/>
      </c>
      <c r="U463" s="7" t="str">
        <f>IF(B463="","",COUNTIF(التمديدات!$A$2:$A$301,B463))</f>
        <v/>
      </c>
      <c r="V463" s="10"/>
      <c r="W463" s="10"/>
      <c r="X463" s="7" t="str">
        <f t="shared" si="22"/>
        <v/>
      </c>
    </row>
    <row r="464" spans="1:24">
      <c r="A464" s="7">
        <v>463</v>
      </c>
      <c r="B464" s="10"/>
      <c r="C464" s="10"/>
      <c r="D464" s="10"/>
      <c r="E464" s="10"/>
      <c r="F464" s="10"/>
      <c r="G464" s="11"/>
      <c r="H464" s="11"/>
      <c r="I464" s="11"/>
      <c r="J464" s="12" t="str">
        <f>IF(B464="","",MAX(I464,_xlfn.MAXIFS(التمديدات!$C$2:$C$301,التمديدات!$A$2:$A$301,B464)))</f>
        <v/>
      </c>
      <c r="K464" s="7" t="str">
        <f t="shared" si="23"/>
        <v/>
      </c>
      <c r="L464" s="26"/>
      <c r="M464" s="27"/>
      <c r="N464" s="10"/>
      <c r="O464" s="10"/>
      <c r="P464" s="10"/>
      <c r="Q464" s="10"/>
      <c r="R464" s="7" t="str">
        <f ca="1">IF(B464="","",IF(Q464&lt;&gt;"",Q464,IF(H464&gt;TODAY(),"لم يبدأ بعد",IF(J464&lt;TODAY(),"منتهٍ",IF(J464-TODAY()&lt;='القوائم والإعدادات'!$E$2,"قريب الانتهاء","ساري")))))</f>
        <v/>
      </c>
      <c r="S464" s="7" t="str">
        <f t="shared" ca="1" si="21"/>
        <v/>
      </c>
      <c r="T464" s="7" t="str">
        <f ca="1">IF(OR(R464="ساري",R464="قريب الانتهاء"),IF(S464&lt;='القوائم والإعدادات'!$E$4,"عاجل",IF(S464&lt;='القوائم والإعدادات'!$E$3,"خلال 60 يوم",IF(S464&lt;='القوائم والإعدادات'!$E$2,"خلال 90 يوم",""))),"")</f>
        <v/>
      </c>
      <c r="U464" s="7" t="str">
        <f>IF(B464="","",COUNTIF(التمديدات!$A$2:$A$301,B464))</f>
        <v/>
      </c>
      <c r="V464" s="10"/>
      <c r="W464" s="10"/>
      <c r="X464" s="7" t="str">
        <f t="shared" si="22"/>
        <v/>
      </c>
    </row>
    <row r="465" spans="1:24">
      <c r="A465" s="7">
        <v>464</v>
      </c>
      <c r="B465" s="10"/>
      <c r="C465" s="10"/>
      <c r="D465" s="10"/>
      <c r="E465" s="10"/>
      <c r="F465" s="10"/>
      <c r="G465" s="11"/>
      <c r="H465" s="11"/>
      <c r="I465" s="11"/>
      <c r="J465" s="12" t="str">
        <f>IF(B465="","",MAX(I465,_xlfn.MAXIFS(التمديدات!$C$2:$C$301,التمديدات!$A$2:$A$301,B465)))</f>
        <v/>
      </c>
      <c r="K465" s="7" t="str">
        <f t="shared" si="23"/>
        <v/>
      </c>
      <c r="L465" s="26"/>
      <c r="M465" s="27"/>
      <c r="N465" s="10"/>
      <c r="O465" s="10"/>
      <c r="P465" s="10"/>
      <c r="Q465" s="10"/>
      <c r="R465" s="7" t="str">
        <f ca="1">IF(B465="","",IF(Q465&lt;&gt;"",Q465,IF(H465&gt;TODAY(),"لم يبدأ بعد",IF(J465&lt;TODAY(),"منتهٍ",IF(J465-TODAY()&lt;='القوائم والإعدادات'!$E$2,"قريب الانتهاء","ساري")))))</f>
        <v/>
      </c>
      <c r="S465" s="7" t="str">
        <f t="shared" ca="1" si="21"/>
        <v/>
      </c>
      <c r="T465" s="7" t="str">
        <f ca="1">IF(OR(R465="ساري",R465="قريب الانتهاء"),IF(S465&lt;='القوائم والإعدادات'!$E$4,"عاجل",IF(S465&lt;='القوائم والإعدادات'!$E$3,"خلال 60 يوم",IF(S465&lt;='القوائم والإعدادات'!$E$2,"خلال 90 يوم",""))),"")</f>
        <v/>
      </c>
      <c r="U465" s="7" t="str">
        <f>IF(B465="","",COUNTIF(التمديدات!$A$2:$A$301,B465))</f>
        <v/>
      </c>
      <c r="V465" s="10"/>
      <c r="W465" s="10"/>
      <c r="X465" s="7" t="str">
        <f t="shared" si="22"/>
        <v/>
      </c>
    </row>
    <row r="466" spans="1:24">
      <c r="A466" s="7">
        <v>465</v>
      </c>
      <c r="B466" s="10"/>
      <c r="C466" s="10"/>
      <c r="D466" s="10"/>
      <c r="E466" s="10"/>
      <c r="F466" s="10"/>
      <c r="G466" s="11"/>
      <c r="H466" s="11"/>
      <c r="I466" s="11"/>
      <c r="J466" s="12" t="str">
        <f>IF(B466="","",MAX(I466,_xlfn.MAXIFS(التمديدات!$C$2:$C$301,التمديدات!$A$2:$A$301,B466)))</f>
        <v/>
      </c>
      <c r="K466" s="7" t="str">
        <f t="shared" si="23"/>
        <v/>
      </c>
      <c r="L466" s="26"/>
      <c r="M466" s="27"/>
      <c r="N466" s="10"/>
      <c r="O466" s="10"/>
      <c r="P466" s="10"/>
      <c r="Q466" s="10"/>
      <c r="R466" s="7" t="str">
        <f ca="1">IF(B466="","",IF(Q466&lt;&gt;"",Q466,IF(H466&gt;TODAY(),"لم يبدأ بعد",IF(J466&lt;TODAY(),"منتهٍ",IF(J466-TODAY()&lt;='القوائم والإعدادات'!$E$2,"قريب الانتهاء","ساري")))))</f>
        <v/>
      </c>
      <c r="S466" s="7" t="str">
        <f t="shared" ref="S466:S501" ca="1" si="24">IF(B466="","",J466-TODAY())</f>
        <v/>
      </c>
      <c r="T466" s="7" t="str">
        <f ca="1">IF(OR(R466="ساري",R466="قريب الانتهاء"),IF(S466&lt;='القوائم والإعدادات'!$E$4,"عاجل",IF(S466&lt;='القوائم والإعدادات'!$E$3,"خلال 60 يوم",IF(S466&lt;='القوائم والإعدادات'!$E$2,"خلال 90 يوم",""))),"")</f>
        <v/>
      </c>
      <c r="U466" s="7" t="str">
        <f>IF(B466="","",COUNTIF(التمديدات!$A$2:$A$301,B466))</f>
        <v/>
      </c>
      <c r="V466" s="10"/>
      <c r="W466" s="10"/>
      <c r="X466" s="7" t="str">
        <f t="shared" ref="X466:X501" si="25">IF(B466="","",IF(COUNTIFS($B$2:$B$501,B466,$D$2:$D$501,D466)&gt;1,"مكرر!",""))</f>
        <v/>
      </c>
    </row>
    <row r="467" spans="1:24">
      <c r="A467" s="7">
        <v>466</v>
      </c>
      <c r="B467" s="10"/>
      <c r="C467" s="10"/>
      <c r="D467" s="10"/>
      <c r="E467" s="10"/>
      <c r="F467" s="10"/>
      <c r="G467" s="11"/>
      <c r="H467" s="11"/>
      <c r="I467" s="11"/>
      <c r="J467" s="12" t="str">
        <f>IF(B467="","",MAX(I467,_xlfn.MAXIFS(التمديدات!$C$2:$C$301,التمديدات!$A$2:$A$301,B467)))</f>
        <v/>
      </c>
      <c r="K467" s="7" t="str">
        <f t="shared" si="23"/>
        <v/>
      </c>
      <c r="L467" s="26"/>
      <c r="M467" s="27"/>
      <c r="N467" s="10"/>
      <c r="O467" s="10"/>
      <c r="P467" s="10"/>
      <c r="Q467" s="10"/>
      <c r="R467" s="7" t="str">
        <f ca="1">IF(B467="","",IF(Q467&lt;&gt;"",Q467,IF(H467&gt;TODAY(),"لم يبدأ بعد",IF(J467&lt;TODAY(),"منتهٍ",IF(J467-TODAY()&lt;='القوائم والإعدادات'!$E$2,"قريب الانتهاء","ساري")))))</f>
        <v/>
      </c>
      <c r="S467" s="7" t="str">
        <f t="shared" ca="1" si="24"/>
        <v/>
      </c>
      <c r="T467" s="7" t="str">
        <f ca="1">IF(OR(R467="ساري",R467="قريب الانتهاء"),IF(S467&lt;='القوائم والإعدادات'!$E$4,"عاجل",IF(S467&lt;='القوائم والإعدادات'!$E$3,"خلال 60 يوم",IF(S467&lt;='القوائم والإعدادات'!$E$2,"خلال 90 يوم",""))),"")</f>
        <v/>
      </c>
      <c r="U467" s="7" t="str">
        <f>IF(B467="","",COUNTIF(التمديدات!$A$2:$A$301,B467))</f>
        <v/>
      </c>
      <c r="V467" s="10"/>
      <c r="W467" s="10"/>
      <c r="X467" s="7" t="str">
        <f t="shared" si="25"/>
        <v/>
      </c>
    </row>
    <row r="468" spans="1:24">
      <c r="A468" s="7">
        <v>467</v>
      </c>
      <c r="B468" s="10"/>
      <c r="C468" s="10"/>
      <c r="D468" s="10"/>
      <c r="E468" s="10"/>
      <c r="F468" s="10"/>
      <c r="G468" s="11"/>
      <c r="H468" s="11"/>
      <c r="I468" s="11"/>
      <c r="J468" s="12" t="str">
        <f>IF(B468="","",MAX(I468,_xlfn.MAXIFS(التمديدات!$C$2:$C$301,التمديدات!$A$2:$A$301,B468)))</f>
        <v/>
      </c>
      <c r="K468" s="7" t="str">
        <f t="shared" si="23"/>
        <v/>
      </c>
      <c r="L468" s="26"/>
      <c r="M468" s="27"/>
      <c r="N468" s="10"/>
      <c r="O468" s="10"/>
      <c r="P468" s="10"/>
      <c r="Q468" s="10"/>
      <c r="R468" s="7" t="str">
        <f ca="1">IF(B468="","",IF(Q468&lt;&gt;"",Q468,IF(H468&gt;TODAY(),"لم يبدأ بعد",IF(J468&lt;TODAY(),"منتهٍ",IF(J468-TODAY()&lt;='القوائم والإعدادات'!$E$2,"قريب الانتهاء","ساري")))))</f>
        <v/>
      </c>
      <c r="S468" s="7" t="str">
        <f t="shared" ca="1" si="24"/>
        <v/>
      </c>
      <c r="T468" s="7" t="str">
        <f ca="1">IF(OR(R468="ساري",R468="قريب الانتهاء"),IF(S468&lt;='القوائم والإعدادات'!$E$4,"عاجل",IF(S468&lt;='القوائم والإعدادات'!$E$3,"خلال 60 يوم",IF(S468&lt;='القوائم والإعدادات'!$E$2,"خلال 90 يوم",""))),"")</f>
        <v/>
      </c>
      <c r="U468" s="7" t="str">
        <f>IF(B468="","",COUNTIF(التمديدات!$A$2:$A$301,B468))</f>
        <v/>
      </c>
      <c r="V468" s="10"/>
      <c r="W468" s="10"/>
      <c r="X468" s="7" t="str">
        <f t="shared" si="25"/>
        <v/>
      </c>
    </row>
    <row r="469" spans="1:24">
      <c r="A469" s="7">
        <v>468</v>
      </c>
      <c r="B469" s="10"/>
      <c r="C469" s="10"/>
      <c r="D469" s="10"/>
      <c r="E469" s="10"/>
      <c r="F469" s="10"/>
      <c r="G469" s="11"/>
      <c r="H469" s="11"/>
      <c r="I469" s="11"/>
      <c r="J469" s="12" t="str">
        <f>IF(B469="","",MAX(I469,_xlfn.MAXIFS(التمديدات!$C$2:$C$301,التمديدات!$A$2:$A$301,B469)))</f>
        <v/>
      </c>
      <c r="K469" s="7" t="str">
        <f t="shared" si="23"/>
        <v/>
      </c>
      <c r="L469" s="26"/>
      <c r="M469" s="27"/>
      <c r="N469" s="10"/>
      <c r="O469" s="10"/>
      <c r="P469" s="10"/>
      <c r="Q469" s="10"/>
      <c r="R469" s="7" t="str">
        <f ca="1">IF(B469="","",IF(Q469&lt;&gt;"",Q469,IF(H469&gt;TODAY(),"لم يبدأ بعد",IF(J469&lt;TODAY(),"منتهٍ",IF(J469-TODAY()&lt;='القوائم والإعدادات'!$E$2,"قريب الانتهاء","ساري")))))</f>
        <v/>
      </c>
      <c r="S469" s="7" t="str">
        <f t="shared" ca="1" si="24"/>
        <v/>
      </c>
      <c r="T469" s="7" t="str">
        <f ca="1">IF(OR(R469="ساري",R469="قريب الانتهاء"),IF(S469&lt;='القوائم والإعدادات'!$E$4,"عاجل",IF(S469&lt;='القوائم والإعدادات'!$E$3,"خلال 60 يوم",IF(S469&lt;='القوائم والإعدادات'!$E$2,"خلال 90 يوم",""))),"")</f>
        <v/>
      </c>
      <c r="U469" s="7" t="str">
        <f>IF(B469="","",COUNTIF(التمديدات!$A$2:$A$301,B469))</f>
        <v/>
      </c>
      <c r="V469" s="10"/>
      <c r="W469" s="10"/>
      <c r="X469" s="7" t="str">
        <f t="shared" si="25"/>
        <v/>
      </c>
    </row>
    <row r="470" spans="1:24">
      <c r="A470" s="7">
        <v>469</v>
      </c>
      <c r="B470" s="10"/>
      <c r="C470" s="10"/>
      <c r="D470" s="10"/>
      <c r="E470" s="10"/>
      <c r="F470" s="10"/>
      <c r="G470" s="11"/>
      <c r="H470" s="11"/>
      <c r="I470" s="11"/>
      <c r="J470" s="12" t="str">
        <f>IF(B470="","",MAX(I470,_xlfn.MAXIFS(التمديدات!$C$2:$C$301,التمديدات!$A$2:$A$301,B470)))</f>
        <v/>
      </c>
      <c r="K470" s="7" t="str">
        <f t="shared" si="23"/>
        <v/>
      </c>
      <c r="L470" s="26"/>
      <c r="M470" s="27"/>
      <c r="N470" s="10"/>
      <c r="O470" s="10"/>
      <c r="P470" s="10"/>
      <c r="Q470" s="10"/>
      <c r="R470" s="7" t="str">
        <f ca="1">IF(B470="","",IF(Q470&lt;&gt;"",Q470,IF(H470&gt;TODAY(),"لم يبدأ بعد",IF(J470&lt;TODAY(),"منتهٍ",IF(J470-TODAY()&lt;='القوائم والإعدادات'!$E$2,"قريب الانتهاء","ساري")))))</f>
        <v/>
      </c>
      <c r="S470" s="7" t="str">
        <f t="shared" ca="1" si="24"/>
        <v/>
      </c>
      <c r="T470" s="7" t="str">
        <f ca="1">IF(OR(R470="ساري",R470="قريب الانتهاء"),IF(S470&lt;='القوائم والإعدادات'!$E$4,"عاجل",IF(S470&lt;='القوائم والإعدادات'!$E$3,"خلال 60 يوم",IF(S470&lt;='القوائم والإعدادات'!$E$2,"خلال 90 يوم",""))),"")</f>
        <v/>
      </c>
      <c r="U470" s="7" t="str">
        <f>IF(B470="","",COUNTIF(التمديدات!$A$2:$A$301,B470))</f>
        <v/>
      </c>
      <c r="V470" s="10"/>
      <c r="W470" s="10"/>
      <c r="X470" s="7" t="str">
        <f t="shared" si="25"/>
        <v/>
      </c>
    </row>
    <row r="471" spans="1:24">
      <c r="A471" s="7">
        <v>470</v>
      </c>
      <c r="B471" s="10"/>
      <c r="C471" s="10"/>
      <c r="D471" s="10"/>
      <c r="E471" s="10"/>
      <c r="F471" s="10"/>
      <c r="G471" s="11"/>
      <c r="H471" s="11"/>
      <c r="I471" s="11"/>
      <c r="J471" s="12" t="str">
        <f>IF(B471="","",MAX(I471,_xlfn.MAXIFS(التمديدات!$C$2:$C$301,التمديدات!$A$2:$A$301,B471)))</f>
        <v/>
      </c>
      <c r="K471" s="7" t="str">
        <f t="shared" si="23"/>
        <v/>
      </c>
      <c r="L471" s="26"/>
      <c r="M471" s="27"/>
      <c r="N471" s="10"/>
      <c r="O471" s="10"/>
      <c r="P471" s="10"/>
      <c r="Q471" s="10"/>
      <c r="R471" s="7" t="str">
        <f ca="1">IF(B471="","",IF(Q471&lt;&gt;"",Q471,IF(H471&gt;TODAY(),"لم يبدأ بعد",IF(J471&lt;TODAY(),"منتهٍ",IF(J471-TODAY()&lt;='القوائم والإعدادات'!$E$2,"قريب الانتهاء","ساري")))))</f>
        <v/>
      </c>
      <c r="S471" s="7" t="str">
        <f t="shared" ca="1" si="24"/>
        <v/>
      </c>
      <c r="T471" s="7" t="str">
        <f ca="1">IF(OR(R471="ساري",R471="قريب الانتهاء"),IF(S471&lt;='القوائم والإعدادات'!$E$4,"عاجل",IF(S471&lt;='القوائم والإعدادات'!$E$3,"خلال 60 يوم",IF(S471&lt;='القوائم والإعدادات'!$E$2,"خلال 90 يوم",""))),"")</f>
        <v/>
      </c>
      <c r="U471" s="7" t="str">
        <f>IF(B471="","",COUNTIF(التمديدات!$A$2:$A$301,B471))</f>
        <v/>
      </c>
      <c r="V471" s="10"/>
      <c r="W471" s="10"/>
      <c r="X471" s="7" t="str">
        <f t="shared" si="25"/>
        <v/>
      </c>
    </row>
    <row r="472" spans="1:24">
      <c r="A472" s="7">
        <v>471</v>
      </c>
      <c r="B472" s="10"/>
      <c r="C472" s="10"/>
      <c r="D472" s="10"/>
      <c r="E472" s="10"/>
      <c r="F472" s="10"/>
      <c r="G472" s="11"/>
      <c r="H472" s="11"/>
      <c r="I472" s="11"/>
      <c r="J472" s="12" t="str">
        <f>IF(B472="","",MAX(I472,_xlfn.MAXIFS(التمديدات!$C$2:$C$301,التمديدات!$A$2:$A$301,B472)))</f>
        <v/>
      </c>
      <c r="K472" s="7" t="str">
        <f t="shared" si="23"/>
        <v/>
      </c>
      <c r="L472" s="26"/>
      <c r="M472" s="27"/>
      <c r="N472" s="10"/>
      <c r="O472" s="10"/>
      <c r="P472" s="10"/>
      <c r="Q472" s="10"/>
      <c r="R472" s="7" t="str">
        <f ca="1">IF(B472="","",IF(Q472&lt;&gt;"",Q472,IF(H472&gt;TODAY(),"لم يبدأ بعد",IF(J472&lt;TODAY(),"منتهٍ",IF(J472-TODAY()&lt;='القوائم والإعدادات'!$E$2,"قريب الانتهاء","ساري")))))</f>
        <v/>
      </c>
      <c r="S472" s="7" t="str">
        <f t="shared" ca="1" si="24"/>
        <v/>
      </c>
      <c r="T472" s="7" t="str">
        <f ca="1">IF(OR(R472="ساري",R472="قريب الانتهاء"),IF(S472&lt;='القوائم والإعدادات'!$E$4,"عاجل",IF(S472&lt;='القوائم والإعدادات'!$E$3,"خلال 60 يوم",IF(S472&lt;='القوائم والإعدادات'!$E$2,"خلال 90 يوم",""))),"")</f>
        <v/>
      </c>
      <c r="U472" s="7" t="str">
        <f>IF(B472="","",COUNTIF(التمديدات!$A$2:$A$301,B472))</f>
        <v/>
      </c>
      <c r="V472" s="10"/>
      <c r="W472" s="10"/>
      <c r="X472" s="7" t="str">
        <f t="shared" si="25"/>
        <v/>
      </c>
    </row>
    <row r="473" spans="1:24">
      <c r="A473" s="7">
        <v>472</v>
      </c>
      <c r="B473" s="10"/>
      <c r="C473" s="10"/>
      <c r="D473" s="10"/>
      <c r="E473" s="10"/>
      <c r="F473" s="10"/>
      <c r="G473" s="11"/>
      <c r="H473" s="11"/>
      <c r="I473" s="11"/>
      <c r="J473" s="12" t="str">
        <f>IF(B473="","",MAX(I473,_xlfn.MAXIFS(التمديدات!$C$2:$C$301,التمديدات!$A$2:$A$301,B473)))</f>
        <v/>
      </c>
      <c r="K473" s="7" t="str">
        <f t="shared" si="23"/>
        <v/>
      </c>
      <c r="L473" s="26"/>
      <c r="M473" s="27"/>
      <c r="N473" s="10"/>
      <c r="O473" s="10"/>
      <c r="P473" s="10"/>
      <c r="Q473" s="10"/>
      <c r="R473" s="7" t="str">
        <f ca="1">IF(B473="","",IF(Q473&lt;&gt;"",Q473,IF(H473&gt;TODAY(),"لم يبدأ بعد",IF(J473&lt;TODAY(),"منتهٍ",IF(J473-TODAY()&lt;='القوائم والإعدادات'!$E$2,"قريب الانتهاء","ساري")))))</f>
        <v/>
      </c>
      <c r="S473" s="7" t="str">
        <f t="shared" ca="1" si="24"/>
        <v/>
      </c>
      <c r="T473" s="7" t="str">
        <f ca="1">IF(OR(R473="ساري",R473="قريب الانتهاء"),IF(S473&lt;='القوائم والإعدادات'!$E$4,"عاجل",IF(S473&lt;='القوائم والإعدادات'!$E$3,"خلال 60 يوم",IF(S473&lt;='القوائم والإعدادات'!$E$2,"خلال 90 يوم",""))),"")</f>
        <v/>
      </c>
      <c r="U473" s="7" t="str">
        <f>IF(B473="","",COUNTIF(التمديدات!$A$2:$A$301,B473))</f>
        <v/>
      </c>
      <c r="V473" s="10"/>
      <c r="W473" s="10"/>
      <c r="X473" s="7" t="str">
        <f t="shared" si="25"/>
        <v/>
      </c>
    </row>
    <row r="474" spans="1:24">
      <c r="A474" s="7">
        <v>473</v>
      </c>
      <c r="B474" s="10"/>
      <c r="C474" s="10"/>
      <c r="D474" s="10"/>
      <c r="E474" s="10"/>
      <c r="F474" s="10"/>
      <c r="G474" s="11"/>
      <c r="H474" s="11"/>
      <c r="I474" s="11"/>
      <c r="J474" s="12" t="str">
        <f>IF(B474="","",MAX(I474,_xlfn.MAXIFS(التمديدات!$C$2:$C$301,التمديدات!$A$2:$A$301,B474)))</f>
        <v/>
      </c>
      <c r="K474" s="7" t="str">
        <f t="shared" si="23"/>
        <v/>
      </c>
      <c r="L474" s="26"/>
      <c r="M474" s="27"/>
      <c r="N474" s="10"/>
      <c r="O474" s="10"/>
      <c r="P474" s="10"/>
      <c r="Q474" s="10"/>
      <c r="R474" s="7" t="str">
        <f ca="1">IF(B474="","",IF(Q474&lt;&gt;"",Q474,IF(H474&gt;TODAY(),"لم يبدأ بعد",IF(J474&lt;TODAY(),"منتهٍ",IF(J474-TODAY()&lt;='القوائم والإعدادات'!$E$2,"قريب الانتهاء","ساري")))))</f>
        <v/>
      </c>
      <c r="S474" s="7" t="str">
        <f t="shared" ca="1" si="24"/>
        <v/>
      </c>
      <c r="T474" s="7" t="str">
        <f ca="1">IF(OR(R474="ساري",R474="قريب الانتهاء"),IF(S474&lt;='القوائم والإعدادات'!$E$4,"عاجل",IF(S474&lt;='القوائم والإعدادات'!$E$3,"خلال 60 يوم",IF(S474&lt;='القوائم والإعدادات'!$E$2,"خلال 90 يوم",""))),"")</f>
        <v/>
      </c>
      <c r="U474" s="7" t="str">
        <f>IF(B474="","",COUNTIF(التمديدات!$A$2:$A$301,B474))</f>
        <v/>
      </c>
      <c r="V474" s="10"/>
      <c r="W474" s="10"/>
      <c r="X474" s="7" t="str">
        <f t="shared" si="25"/>
        <v/>
      </c>
    </row>
    <row r="475" spans="1:24">
      <c r="A475" s="7">
        <v>474</v>
      </c>
      <c r="B475" s="10"/>
      <c r="C475" s="10"/>
      <c r="D475" s="10"/>
      <c r="E475" s="10"/>
      <c r="F475" s="10"/>
      <c r="G475" s="11"/>
      <c r="H475" s="11"/>
      <c r="I475" s="11"/>
      <c r="J475" s="12" t="str">
        <f>IF(B475="","",MAX(I475,_xlfn.MAXIFS(التمديدات!$C$2:$C$301,التمديدات!$A$2:$A$301,B475)))</f>
        <v/>
      </c>
      <c r="K475" s="7" t="str">
        <f t="shared" si="23"/>
        <v/>
      </c>
      <c r="L475" s="26"/>
      <c r="M475" s="27"/>
      <c r="N475" s="10"/>
      <c r="O475" s="10"/>
      <c r="P475" s="10"/>
      <c r="Q475" s="10"/>
      <c r="R475" s="7" t="str">
        <f ca="1">IF(B475="","",IF(Q475&lt;&gt;"",Q475,IF(H475&gt;TODAY(),"لم يبدأ بعد",IF(J475&lt;TODAY(),"منتهٍ",IF(J475-TODAY()&lt;='القوائم والإعدادات'!$E$2,"قريب الانتهاء","ساري")))))</f>
        <v/>
      </c>
      <c r="S475" s="7" t="str">
        <f t="shared" ca="1" si="24"/>
        <v/>
      </c>
      <c r="T475" s="7" t="str">
        <f ca="1">IF(OR(R475="ساري",R475="قريب الانتهاء"),IF(S475&lt;='القوائم والإعدادات'!$E$4,"عاجل",IF(S475&lt;='القوائم والإعدادات'!$E$3,"خلال 60 يوم",IF(S475&lt;='القوائم والإعدادات'!$E$2,"خلال 90 يوم",""))),"")</f>
        <v/>
      </c>
      <c r="U475" s="7" t="str">
        <f>IF(B475="","",COUNTIF(التمديدات!$A$2:$A$301,B475))</f>
        <v/>
      </c>
      <c r="V475" s="10"/>
      <c r="W475" s="10"/>
      <c r="X475" s="7" t="str">
        <f t="shared" si="25"/>
        <v/>
      </c>
    </row>
    <row r="476" spans="1:24">
      <c r="A476" s="7">
        <v>475</v>
      </c>
      <c r="B476" s="10"/>
      <c r="C476" s="10"/>
      <c r="D476" s="10"/>
      <c r="E476" s="10"/>
      <c r="F476" s="10"/>
      <c r="G476" s="11"/>
      <c r="H476" s="11"/>
      <c r="I476" s="11"/>
      <c r="J476" s="12" t="str">
        <f>IF(B476="","",MAX(I476,_xlfn.MAXIFS(التمديدات!$C$2:$C$301,التمديدات!$A$2:$A$301,B476)))</f>
        <v/>
      </c>
      <c r="K476" s="7" t="str">
        <f t="shared" si="23"/>
        <v/>
      </c>
      <c r="L476" s="26"/>
      <c r="M476" s="27"/>
      <c r="N476" s="10"/>
      <c r="O476" s="10"/>
      <c r="P476" s="10"/>
      <c r="Q476" s="10"/>
      <c r="R476" s="7" t="str">
        <f ca="1">IF(B476="","",IF(Q476&lt;&gt;"",Q476,IF(H476&gt;TODAY(),"لم يبدأ بعد",IF(J476&lt;TODAY(),"منتهٍ",IF(J476-TODAY()&lt;='القوائم والإعدادات'!$E$2,"قريب الانتهاء","ساري")))))</f>
        <v/>
      </c>
      <c r="S476" s="7" t="str">
        <f t="shared" ca="1" si="24"/>
        <v/>
      </c>
      <c r="T476" s="7" t="str">
        <f ca="1">IF(OR(R476="ساري",R476="قريب الانتهاء"),IF(S476&lt;='القوائم والإعدادات'!$E$4,"عاجل",IF(S476&lt;='القوائم والإعدادات'!$E$3,"خلال 60 يوم",IF(S476&lt;='القوائم والإعدادات'!$E$2,"خلال 90 يوم",""))),"")</f>
        <v/>
      </c>
      <c r="U476" s="7" t="str">
        <f>IF(B476="","",COUNTIF(التمديدات!$A$2:$A$301,B476))</f>
        <v/>
      </c>
      <c r="V476" s="10"/>
      <c r="W476" s="10"/>
      <c r="X476" s="7" t="str">
        <f t="shared" si="25"/>
        <v/>
      </c>
    </row>
    <row r="477" spans="1:24">
      <c r="A477" s="7">
        <v>476</v>
      </c>
      <c r="B477" s="10"/>
      <c r="C477" s="10"/>
      <c r="D477" s="10"/>
      <c r="E477" s="10"/>
      <c r="F477" s="10"/>
      <c r="G477" s="11"/>
      <c r="H477" s="11"/>
      <c r="I477" s="11"/>
      <c r="J477" s="12" t="str">
        <f>IF(B477="","",MAX(I477,_xlfn.MAXIFS(التمديدات!$C$2:$C$301,التمديدات!$A$2:$A$301,B477)))</f>
        <v/>
      </c>
      <c r="K477" s="7" t="str">
        <f t="shared" si="23"/>
        <v/>
      </c>
      <c r="L477" s="26"/>
      <c r="M477" s="27"/>
      <c r="N477" s="10"/>
      <c r="O477" s="10"/>
      <c r="P477" s="10"/>
      <c r="Q477" s="10"/>
      <c r="R477" s="7" t="str">
        <f ca="1">IF(B477="","",IF(Q477&lt;&gt;"",Q477,IF(H477&gt;TODAY(),"لم يبدأ بعد",IF(J477&lt;TODAY(),"منتهٍ",IF(J477-TODAY()&lt;='القوائم والإعدادات'!$E$2,"قريب الانتهاء","ساري")))))</f>
        <v/>
      </c>
      <c r="S477" s="7" t="str">
        <f t="shared" ca="1" si="24"/>
        <v/>
      </c>
      <c r="T477" s="7" t="str">
        <f ca="1">IF(OR(R477="ساري",R477="قريب الانتهاء"),IF(S477&lt;='القوائم والإعدادات'!$E$4,"عاجل",IF(S477&lt;='القوائم والإعدادات'!$E$3,"خلال 60 يوم",IF(S477&lt;='القوائم والإعدادات'!$E$2,"خلال 90 يوم",""))),"")</f>
        <v/>
      </c>
      <c r="U477" s="7" t="str">
        <f>IF(B477="","",COUNTIF(التمديدات!$A$2:$A$301,B477))</f>
        <v/>
      </c>
      <c r="V477" s="10"/>
      <c r="W477" s="10"/>
      <c r="X477" s="7" t="str">
        <f t="shared" si="25"/>
        <v/>
      </c>
    </row>
    <row r="478" spans="1:24">
      <c r="A478" s="7">
        <v>477</v>
      </c>
      <c r="B478" s="10"/>
      <c r="C478" s="10"/>
      <c r="D478" s="10"/>
      <c r="E478" s="10"/>
      <c r="F478" s="10"/>
      <c r="G478" s="11"/>
      <c r="H478" s="11"/>
      <c r="I478" s="11"/>
      <c r="J478" s="12" t="str">
        <f>IF(B478="","",MAX(I478,_xlfn.MAXIFS(التمديدات!$C$2:$C$301,التمديدات!$A$2:$A$301,B478)))</f>
        <v/>
      </c>
      <c r="K478" s="7" t="str">
        <f t="shared" si="23"/>
        <v/>
      </c>
      <c r="L478" s="26"/>
      <c r="M478" s="27"/>
      <c r="N478" s="10"/>
      <c r="O478" s="10"/>
      <c r="P478" s="10"/>
      <c r="Q478" s="10"/>
      <c r="R478" s="7" t="str">
        <f ca="1">IF(B478="","",IF(Q478&lt;&gt;"",Q478,IF(H478&gt;TODAY(),"لم يبدأ بعد",IF(J478&lt;TODAY(),"منتهٍ",IF(J478-TODAY()&lt;='القوائم والإعدادات'!$E$2,"قريب الانتهاء","ساري")))))</f>
        <v/>
      </c>
      <c r="S478" s="7" t="str">
        <f t="shared" ca="1" si="24"/>
        <v/>
      </c>
      <c r="T478" s="7" t="str">
        <f ca="1">IF(OR(R478="ساري",R478="قريب الانتهاء"),IF(S478&lt;='القوائم والإعدادات'!$E$4,"عاجل",IF(S478&lt;='القوائم والإعدادات'!$E$3,"خلال 60 يوم",IF(S478&lt;='القوائم والإعدادات'!$E$2,"خلال 90 يوم",""))),"")</f>
        <v/>
      </c>
      <c r="U478" s="7" t="str">
        <f>IF(B478="","",COUNTIF(التمديدات!$A$2:$A$301,B478))</f>
        <v/>
      </c>
      <c r="V478" s="10"/>
      <c r="W478" s="10"/>
      <c r="X478" s="7" t="str">
        <f t="shared" si="25"/>
        <v/>
      </c>
    </row>
    <row r="479" spans="1:24">
      <c r="A479" s="7">
        <v>478</v>
      </c>
      <c r="B479" s="10"/>
      <c r="C479" s="10"/>
      <c r="D479" s="10"/>
      <c r="E479" s="10"/>
      <c r="F479" s="10"/>
      <c r="G479" s="11"/>
      <c r="H479" s="11"/>
      <c r="I479" s="11"/>
      <c r="J479" s="12" t="str">
        <f>IF(B479="","",MAX(I479,_xlfn.MAXIFS(التمديدات!$C$2:$C$301,التمديدات!$A$2:$A$301,B479)))</f>
        <v/>
      </c>
      <c r="K479" s="7" t="str">
        <f t="shared" si="23"/>
        <v/>
      </c>
      <c r="L479" s="26"/>
      <c r="M479" s="27"/>
      <c r="N479" s="10"/>
      <c r="O479" s="10"/>
      <c r="P479" s="10"/>
      <c r="Q479" s="10"/>
      <c r="R479" s="7" t="str">
        <f ca="1">IF(B479="","",IF(Q479&lt;&gt;"",Q479,IF(H479&gt;TODAY(),"لم يبدأ بعد",IF(J479&lt;TODAY(),"منتهٍ",IF(J479-TODAY()&lt;='القوائم والإعدادات'!$E$2,"قريب الانتهاء","ساري")))))</f>
        <v/>
      </c>
      <c r="S479" s="7" t="str">
        <f t="shared" ca="1" si="24"/>
        <v/>
      </c>
      <c r="T479" s="7" t="str">
        <f ca="1">IF(OR(R479="ساري",R479="قريب الانتهاء"),IF(S479&lt;='القوائم والإعدادات'!$E$4,"عاجل",IF(S479&lt;='القوائم والإعدادات'!$E$3,"خلال 60 يوم",IF(S479&lt;='القوائم والإعدادات'!$E$2,"خلال 90 يوم",""))),"")</f>
        <v/>
      </c>
      <c r="U479" s="7" t="str">
        <f>IF(B479="","",COUNTIF(التمديدات!$A$2:$A$301,B479))</f>
        <v/>
      </c>
      <c r="V479" s="10"/>
      <c r="W479" s="10"/>
      <c r="X479" s="7" t="str">
        <f t="shared" si="25"/>
        <v/>
      </c>
    </row>
    <row r="480" spans="1:24">
      <c r="A480" s="7">
        <v>479</v>
      </c>
      <c r="B480" s="10"/>
      <c r="C480" s="10"/>
      <c r="D480" s="10"/>
      <c r="E480" s="10"/>
      <c r="F480" s="10"/>
      <c r="G480" s="11"/>
      <c r="H480" s="11"/>
      <c r="I480" s="11"/>
      <c r="J480" s="12" t="str">
        <f>IF(B480="","",MAX(I480,_xlfn.MAXIFS(التمديدات!$C$2:$C$301,التمديدات!$A$2:$A$301,B480)))</f>
        <v/>
      </c>
      <c r="K480" s="7" t="str">
        <f t="shared" si="23"/>
        <v/>
      </c>
      <c r="L480" s="26"/>
      <c r="M480" s="27"/>
      <c r="N480" s="10"/>
      <c r="O480" s="10"/>
      <c r="P480" s="10"/>
      <c r="Q480" s="10"/>
      <c r="R480" s="7" t="str">
        <f ca="1">IF(B480="","",IF(Q480&lt;&gt;"",Q480,IF(H480&gt;TODAY(),"لم يبدأ بعد",IF(J480&lt;TODAY(),"منتهٍ",IF(J480-TODAY()&lt;='القوائم والإعدادات'!$E$2,"قريب الانتهاء","ساري")))))</f>
        <v/>
      </c>
      <c r="S480" s="7" t="str">
        <f t="shared" ca="1" si="24"/>
        <v/>
      </c>
      <c r="T480" s="7" t="str">
        <f ca="1">IF(OR(R480="ساري",R480="قريب الانتهاء"),IF(S480&lt;='القوائم والإعدادات'!$E$4,"عاجل",IF(S480&lt;='القوائم والإعدادات'!$E$3,"خلال 60 يوم",IF(S480&lt;='القوائم والإعدادات'!$E$2,"خلال 90 يوم",""))),"")</f>
        <v/>
      </c>
      <c r="U480" s="7" t="str">
        <f>IF(B480="","",COUNTIF(التمديدات!$A$2:$A$301,B480))</f>
        <v/>
      </c>
      <c r="V480" s="10"/>
      <c r="W480" s="10"/>
      <c r="X480" s="7" t="str">
        <f t="shared" si="25"/>
        <v/>
      </c>
    </row>
    <row r="481" spans="1:24">
      <c r="A481" s="7">
        <v>480</v>
      </c>
      <c r="B481" s="10"/>
      <c r="C481" s="10"/>
      <c r="D481" s="10"/>
      <c r="E481" s="10"/>
      <c r="F481" s="10"/>
      <c r="G481" s="11"/>
      <c r="H481" s="11"/>
      <c r="I481" s="11"/>
      <c r="J481" s="12" t="str">
        <f>IF(B481="","",MAX(I481,_xlfn.MAXIFS(التمديدات!$C$2:$C$301,التمديدات!$A$2:$A$301,B481)))</f>
        <v/>
      </c>
      <c r="K481" s="7" t="str">
        <f t="shared" si="23"/>
        <v/>
      </c>
      <c r="L481" s="26"/>
      <c r="M481" s="27"/>
      <c r="N481" s="10"/>
      <c r="O481" s="10"/>
      <c r="P481" s="10"/>
      <c r="Q481" s="10"/>
      <c r="R481" s="7" t="str">
        <f ca="1">IF(B481="","",IF(Q481&lt;&gt;"",Q481,IF(H481&gt;TODAY(),"لم يبدأ بعد",IF(J481&lt;TODAY(),"منتهٍ",IF(J481-TODAY()&lt;='القوائم والإعدادات'!$E$2,"قريب الانتهاء","ساري")))))</f>
        <v/>
      </c>
      <c r="S481" s="7" t="str">
        <f t="shared" ca="1" si="24"/>
        <v/>
      </c>
      <c r="T481" s="7" t="str">
        <f ca="1">IF(OR(R481="ساري",R481="قريب الانتهاء"),IF(S481&lt;='القوائم والإعدادات'!$E$4,"عاجل",IF(S481&lt;='القوائم والإعدادات'!$E$3,"خلال 60 يوم",IF(S481&lt;='القوائم والإعدادات'!$E$2,"خلال 90 يوم",""))),"")</f>
        <v/>
      </c>
      <c r="U481" s="7" t="str">
        <f>IF(B481="","",COUNTIF(التمديدات!$A$2:$A$301,B481))</f>
        <v/>
      </c>
      <c r="V481" s="10"/>
      <c r="W481" s="10"/>
      <c r="X481" s="7" t="str">
        <f t="shared" si="25"/>
        <v/>
      </c>
    </row>
    <row r="482" spans="1:24">
      <c r="A482" s="7">
        <v>481</v>
      </c>
      <c r="B482" s="10"/>
      <c r="C482" s="10"/>
      <c r="D482" s="10"/>
      <c r="E482" s="10"/>
      <c r="F482" s="10"/>
      <c r="G482" s="11"/>
      <c r="H482" s="11"/>
      <c r="I482" s="11"/>
      <c r="J482" s="12" t="str">
        <f>IF(B482="","",MAX(I482,_xlfn.MAXIFS(التمديدات!$C$2:$C$301,التمديدات!$A$2:$A$301,B482)))</f>
        <v/>
      </c>
      <c r="K482" s="7" t="str">
        <f t="shared" si="23"/>
        <v/>
      </c>
      <c r="L482" s="26"/>
      <c r="M482" s="27"/>
      <c r="N482" s="10"/>
      <c r="O482" s="10"/>
      <c r="P482" s="10"/>
      <c r="Q482" s="10"/>
      <c r="R482" s="7" t="str">
        <f ca="1">IF(B482="","",IF(Q482&lt;&gt;"",Q482,IF(H482&gt;TODAY(),"لم يبدأ بعد",IF(J482&lt;TODAY(),"منتهٍ",IF(J482-TODAY()&lt;='القوائم والإعدادات'!$E$2,"قريب الانتهاء","ساري")))))</f>
        <v/>
      </c>
      <c r="S482" s="7" t="str">
        <f t="shared" ca="1" si="24"/>
        <v/>
      </c>
      <c r="T482" s="7" t="str">
        <f ca="1">IF(OR(R482="ساري",R482="قريب الانتهاء"),IF(S482&lt;='القوائم والإعدادات'!$E$4,"عاجل",IF(S482&lt;='القوائم والإعدادات'!$E$3,"خلال 60 يوم",IF(S482&lt;='القوائم والإعدادات'!$E$2,"خلال 90 يوم",""))),"")</f>
        <v/>
      </c>
      <c r="U482" s="7" t="str">
        <f>IF(B482="","",COUNTIF(التمديدات!$A$2:$A$301,B482))</f>
        <v/>
      </c>
      <c r="V482" s="10"/>
      <c r="W482" s="10"/>
      <c r="X482" s="7" t="str">
        <f t="shared" si="25"/>
        <v/>
      </c>
    </row>
    <row r="483" spans="1:24">
      <c r="A483" s="7">
        <v>482</v>
      </c>
      <c r="B483" s="10"/>
      <c r="C483" s="10"/>
      <c r="D483" s="10"/>
      <c r="E483" s="10"/>
      <c r="F483" s="10"/>
      <c r="G483" s="11"/>
      <c r="H483" s="11"/>
      <c r="I483" s="11"/>
      <c r="J483" s="12" t="str">
        <f>IF(B483="","",MAX(I483,_xlfn.MAXIFS(التمديدات!$C$2:$C$301,التمديدات!$A$2:$A$301,B483)))</f>
        <v/>
      </c>
      <c r="K483" s="7" t="str">
        <f t="shared" si="23"/>
        <v/>
      </c>
      <c r="L483" s="26"/>
      <c r="M483" s="27"/>
      <c r="N483" s="10"/>
      <c r="O483" s="10"/>
      <c r="P483" s="10"/>
      <c r="Q483" s="10"/>
      <c r="R483" s="7" t="str">
        <f ca="1">IF(B483="","",IF(Q483&lt;&gt;"",Q483,IF(H483&gt;TODAY(),"لم يبدأ بعد",IF(J483&lt;TODAY(),"منتهٍ",IF(J483-TODAY()&lt;='القوائم والإعدادات'!$E$2,"قريب الانتهاء","ساري")))))</f>
        <v/>
      </c>
      <c r="S483" s="7" t="str">
        <f t="shared" ca="1" si="24"/>
        <v/>
      </c>
      <c r="T483" s="7" t="str">
        <f ca="1">IF(OR(R483="ساري",R483="قريب الانتهاء"),IF(S483&lt;='القوائم والإعدادات'!$E$4,"عاجل",IF(S483&lt;='القوائم والإعدادات'!$E$3,"خلال 60 يوم",IF(S483&lt;='القوائم والإعدادات'!$E$2,"خلال 90 يوم",""))),"")</f>
        <v/>
      </c>
      <c r="U483" s="7" t="str">
        <f>IF(B483="","",COUNTIF(التمديدات!$A$2:$A$301,B483))</f>
        <v/>
      </c>
      <c r="V483" s="10"/>
      <c r="W483" s="10"/>
      <c r="X483" s="7" t="str">
        <f t="shared" si="25"/>
        <v/>
      </c>
    </row>
    <row r="484" spans="1:24">
      <c r="A484" s="7">
        <v>483</v>
      </c>
      <c r="B484" s="10"/>
      <c r="C484" s="10"/>
      <c r="D484" s="10"/>
      <c r="E484" s="10"/>
      <c r="F484" s="10"/>
      <c r="G484" s="11"/>
      <c r="H484" s="11"/>
      <c r="I484" s="11"/>
      <c r="J484" s="12" t="str">
        <f>IF(B484="","",MAX(I484,_xlfn.MAXIFS(التمديدات!$C$2:$C$301,التمديدات!$A$2:$A$301,B484)))</f>
        <v/>
      </c>
      <c r="K484" s="7" t="str">
        <f t="shared" si="23"/>
        <v/>
      </c>
      <c r="L484" s="26"/>
      <c r="M484" s="27"/>
      <c r="N484" s="10"/>
      <c r="O484" s="10"/>
      <c r="P484" s="10"/>
      <c r="Q484" s="10"/>
      <c r="R484" s="7" t="str">
        <f ca="1">IF(B484="","",IF(Q484&lt;&gt;"",Q484,IF(H484&gt;TODAY(),"لم يبدأ بعد",IF(J484&lt;TODAY(),"منتهٍ",IF(J484-TODAY()&lt;='القوائم والإعدادات'!$E$2,"قريب الانتهاء","ساري")))))</f>
        <v/>
      </c>
      <c r="S484" s="7" t="str">
        <f t="shared" ca="1" si="24"/>
        <v/>
      </c>
      <c r="T484" s="7" t="str">
        <f ca="1">IF(OR(R484="ساري",R484="قريب الانتهاء"),IF(S484&lt;='القوائم والإعدادات'!$E$4,"عاجل",IF(S484&lt;='القوائم والإعدادات'!$E$3,"خلال 60 يوم",IF(S484&lt;='القوائم والإعدادات'!$E$2,"خلال 90 يوم",""))),"")</f>
        <v/>
      </c>
      <c r="U484" s="7" t="str">
        <f>IF(B484="","",COUNTIF(التمديدات!$A$2:$A$301,B484))</f>
        <v/>
      </c>
      <c r="V484" s="10"/>
      <c r="W484" s="10"/>
      <c r="X484" s="7" t="str">
        <f t="shared" si="25"/>
        <v/>
      </c>
    </row>
    <row r="485" spans="1:24">
      <c r="A485" s="7">
        <v>484</v>
      </c>
      <c r="B485" s="10"/>
      <c r="C485" s="10"/>
      <c r="D485" s="10"/>
      <c r="E485" s="10"/>
      <c r="F485" s="10"/>
      <c r="G485" s="11"/>
      <c r="H485" s="11"/>
      <c r="I485" s="11"/>
      <c r="J485" s="12" t="str">
        <f>IF(B485="","",MAX(I485,_xlfn.MAXIFS(التمديدات!$C$2:$C$301,التمديدات!$A$2:$A$301,B485)))</f>
        <v/>
      </c>
      <c r="K485" s="7" t="str">
        <f t="shared" si="23"/>
        <v/>
      </c>
      <c r="L485" s="26"/>
      <c r="M485" s="27"/>
      <c r="N485" s="10"/>
      <c r="O485" s="10"/>
      <c r="P485" s="10"/>
      <c r="Q485" s="10"/>
      <c r="R485" s="7" t="str">
        <f ca="1">IF(B485="","",IF(Q485&lt;&gt;"",Q485,IF(H485&gt;TODAY(),"لم يبدأ بعد",IF(J485&lt;TODAY(),"منتهٍ",IF(J485-TODAY()&lt;='القوائم والإعدادات'!$E$2,"قريب الانتهاء","ساري")))))</f>
        <v/>
      </c>
      <c r="S485" s="7" t="str">
        <f t="shared" ca="1" si="24"/>
        <v/>
      </c>
      <c r="T485" s="7" t="str">
        <f ca="1">IF(OR(R485="ساري",R485="قريب الانتهاء"),IF(S485&lt;='القوائم والإعدادات'!$E$4,"عاجل",IF(S485&lt;='القوائم والإعدادات'!$E$3,"خلال 60 يوم",IF(S485&lt;='القوائم والإعدادات'!$E$2,"خلال 90 يوم",""))),"")</f>
        <v/>
      </c>
      <c r="U485" s="7" t="str">
        <f>IF(B485="","",COUNTIF(التمديدات!$A$2:$A$301,B485))</f>
        <v/>
      </c>
      <c r="V485" s="10"/>
      <c r="W485" s="10"/>
      <c r="X485" s="7" t="str">
        <f t="shared" si="25"/>
        <v/>
      </c>
    </row>
    <row r="486" spans="1:24">
      <c r="A486" s="7">
        <v>485</v>
      </c>
      <c r="B486" s="10"/>
      <c r="C486" s="10"/>
      <c r="D486" s="10"/>
      <c r="E486" s="10"/>
      <c r="F486" s="10"/>
      <c r="G486" s="11"/>
      <c r="H486" s="11"/>
      <c r="I486" s="11"/>
      <c r="J486" s="12" t="str">
        <f>IF(B486="","",MAX(I486,_xlfn.MAXIFS(التمديدات!$C$2:$C$301,التمديدات!$A$2:$A$301,B486)))</f>
        <v/>
      </c>
      <c r="K486" s="7" t="str">
        <f t="shared" si="23"/>
        <v/>
      </c>
      <c r="L486" s="26"/>
      <c r="M486" s="27"/>
      <c r="N486" s="10"/>
      <c r="O486" s="10"/>
      <c r="P486" s="10"/>
      <c r="Q486" s="10"/>
      <c r="R486" s="7" t="str">
        <f ca="1">IF(B486="","",IF(Q486&lt;&gt;"",Q486,IF(H486&gt;TODAY(),"لم يبدأ بعد",IF(J486&lt;TODAY(),"منتهٍ",IF(J486-TODAY()&lt;='القوائم والإعدادات'!$E$2,"قريب الانتهاء","ساري")))))</f>
        <v/>
      </c>
      <c r="S486" s="7" t="str">
        <f t="shared" ca="1" si="24"/>
        <v/>
      </c>
      <c r="T486" s="7" t="str">
        <f ca="1">IF(OR(R486="ساري",R486="قريب الانتهاء"),IF(S486&lt;='القوائم والإعدادات'!$E$4,"عاجل",IF(S486&lt;='القوائم والإعدادات'!$E$3,"خلال 60 يوم",IF(S486&lt;='القوائم والإعدادات'!$E$2,"خلال 90 يوم",""))),"")</f>
        <v/>
      </c>
      <c r="U486" s="7" t="str">
        <f>IF(B486="","",COUNTIF(التمديدات!$A$2:$A$301,B486))</f>
        <v/>
      </c>
      <c r="V486" s="10"/>
      <c r="W486" s="10"/>
      <c r="X486" s="7" t="str">
        <f t="shared" si="25"/>
        <v/>
      </c>
    </row>
    <row r="487" spans="1:24">
      <c r="A487" s="7">
        <v>486</v>
      </c>
      <c r="B487" s="10"/>
      <c r="C487" s="10"/>
      <c r="D487" s="10"/>
      <c r="E487" s="10"/>
      <c r="F487" s="10"/>
      <c r="G487" s="11"/>
      <c r="H487" s="11"/>
      <c r="I487" s="11"/>
      <c r="J487" s="12" t="str">
        <f>IF(B487="","",MAX(I487,_xlfn.MAXIFS(التمديدات!$C$2:$C$301,التمديدات!$A$2:$A$301,B487)))</f>
        <v/>
      </c>
      <c r="K487" s="7" t="str">
        <f t="shared" si="23"/>
        <v/>
      </c>
      <c r="L487" s="26"/>
      <c r="M487" s="27"/>
      <c r="N487" s="10"/>
      <c r="O487" s="10"/>
      <c r="P487" s="10"/>
      <c r="Q487" s="10"/>
      <c r="R487" s="7" t="str">
        <f ca="1">IF(B487="","",IF(Q487&lt;&gt;"",Q487,IF(H487&gt;TODAY(),"لم يبدأ بعد",IF(J487&lt;TODAY(),"منتهٍ",IF(J487-TODAY()&lt;='القوائم والإعدادات'!$E$2,"قريب الانتهاء","ساري")))))</f>
        <v/>
      </c>
      <c r="S487" s="7" t="str">
        <f t="shared" ca="1" si="24"/>
        <v/>
      </c>
      <c r="T487" s="7" t="str">
        <f ca="1">IF(OR(R487="ساري",R487="قريب الانتهاء"),IF(S487&lt;='القوائم والإعدادات'!$E$4,"عاجل",IF(S487&lt;='القوائم والإعدادات'!$E$3,"خلال 60 يوم",IF(S487&lt;='القوائم والإعدادات'!$E$2,"خلال 90 يوم",""))),"")</f>
        <v/>
      </c>
      <c r="U487" s="7" t="str">
        <f>IF(B487="","",COUNTIF(التمديدات!$A$2:$A$301,B487))</f>
        <v/>
      </c>
      <c r="V487" s="10"/>
      <c r="W487" s="10"/>
      <c r="X487" s="7" t="str">
        <f t="shared" si="25"/>
        <v/>
      </c>
    </row>
    <row r="488" spans="1:24">
      <c r="A488" s="7">
        <v>487</v>
      </c>
      <c r="B488" s="10"/>
      <c r="C488" s="10"/>
      <c r="D488" s="10"/>
      <c r="E488" s="10"/>
      <c r="F488" s="10"/>
      <c r="G488" s="11"/>
      <c r="H488" s="11"/>
      <c r="I488" s="11"/>
      <c r="J488" s="12" t="str">
        <f>IF(B488="","",MAX(I488,_xlfn.MAXIFS(التمديدات!$C$2:$C$301,التمديدات!$A$2:$A$301,B488)))</f>
        <v/>
      </c>
      <c r="K488" s="7" t="str">
        <f t="shared" si="23"/>
        <v/>
      </c>
      <c r="L488" s="26"/>
      <c r="M488" s="27"/>
      <c r="N488" s="10"/>
      <c r="O488" s="10"/>
      <c r="P488" s="10"/>
      <c r="Q488" s="10"/>
      <c r="R488" s="7" t="str">
        <f ca="1">IF(B488="","",IF(Q488&lt;&gt;"",Q488,IF(H488&gt;TODAY(),"لم يبدأ بعد",IF(J488&lt;TODAY(),"منتهٍ",IF(J488-TODAY()&lt;='القوائم والإعدادات'!$E$2,"قريب الانتهاء","ساري")))))</f>
        <v/>
      </c>
      <c r="S488" s="7" t="str">
        <f t="shared" ca="1" si="24"/>
        <v/>
      </c>
      <c r="T488" s="7" t="str">
        <f ca="1">IF(OR(R488="ساري",R488="قريب الانتهاء"),IF(S488&lt;='القوائم والإعدادات'!$E$4,"عاجل",IF(S488&lt;='القوائم والإعدادات'!$E$3,"خلال 60 يوم",IF(S488&lt;='القوائم والإعدادات'!$E$2,"خلال 90 يوم",""))),"")</f>
        <v/>
      </c>
      <c r="U488" s="7" t="str">
        <f>IF(B488="","",COUNTIF(التمديدات!$A$2:$A$301,B488))</f>
        <v/>
      </c>
      <c r="V488" s="10"/>
      <c r="W488" s="10"/>
      <c r="X488" s="7" t="str">
        <f t="shared" si="25"/>
        <v/>
      </c>
    </row>
    <row r="489" spans="1:24">
      <c r="A489" s="7">
        <v>488</v>
      </c>
      <c r="B489" s="10"/>
      <c r="C489" s="10"/>
      <c r="D489" s="10"/>
      <c r="E489" s="10"/>
      <c r="F489" s="10"/>
      <c r="G489" s="11"/>
      <c r="H489" s="11"/>
      <c r="I489" s="11"/>
      <c r="J489" s="12" t="str">
        <f>IF(B489="","",MAX(I489,_xlfn.MAXIFS(التمديدات!$C$2:$C$301,التمديدات!$A$2:$A$301,B489)))</f>
        <v/>
      </c>
      <c r="K489" s="7" t="str">
        <f t="shared" si="23"/>
        <v/>
      </c>
      <c r="L489" s="26"/>
      <c r="M489" s="27"/>
      <c r="N489" s="10"/>
      <c r="O489" s="10"/>
      <c r="P489" s="10"/>
      <c r="Q489" s="10"/>
      <c r="R489" s="7" t="str">
        <f ca="1">IF(B489="","",IF(Q489&lt;&gt;"",Q489,IF(H489&gt;TODAY(),"لم يبدأ بعد",IF(J489&lt;TODAY(),"منتهٍ",IF(J489-TODAY()&lt;='القوائم والإعدادات'!$E$2,"قريب الانتهاء","ساري")))))</f>
        <v/>
      </c>
      <c r="S489" s="7" t="str">
        <f t="shared" ca="1" si="24"/>
        <v/>
      </c>
      <c r="T489" s="7" t="str">
        <f ca="1">IF(OR(R489="ساري",R489="قريب الانتهاء"),IF(S489&lt;='القوائم والإعدادات'!$E$4,"عاجل",IF(S489&lt;='القوائم والإعدادات'!$E$3,"خلال 60 يوم",IF(S489&lt;='القوائم والإعدادات'!$E$2,"خلال 90 يوم",""))),"")</f>
        <v/>
      </c>
      <c r="U489" s="7" t="str">
        <f>IF(B489="","",COUNTIF(التمديدات!$A$2:$A$301,B489))</f>
        <v/>
      </c>
      <c r="V489" s="10"/>
      <c r="W489" s="10"/>
      <c r="X489" s="7" t="str">
        <f t="shared" si="25"/>
        <v/>
      </c>
    </row>
    <row r="490" spans="1:24">
      <c r="A490" s="7">
        <v>489</v>
      </c>
      <c r="B490" s="10"/>
      <c r="C490" s="10"/>
      <c r="D490" s="10"/>
      <c r="E490" s="10"/>
      <c r="F490" s="10"/>
      <c r="G490" s="11"/>
      <c r="H490" s="11"/>
      <c r="I490" s="11"/>
      <c r="J490" s="12" t="str">
        <f>IF(B490="","",MAX(I490,_xlfn.MAXIFS(التمديدات!$C$2:$C$301,التمديدات!$A$2:$A$301,B490)))</f>
        <v/>
      </c>
      <c r="K490" s="7" t="str">
        <f t="shared" si="23"/>
        <v/>
      </c>
      <c r="L490" s="26"/>
      <c r="M490" s="27"/>
      <c r="N490" s="10"/>
      <c r="O490" s="10"/>
      <c r="P490" s="10"/>
      <c r="Q490" s="10"/>
      <c r="R490" s="7" t="str">
        <f ca="1">IF(B490="","",IF(Q490&lt;&gt;"",Q490,IF(H490&gt;TODAY(),"لم يبدأ بعد",IF(J490&lt;TODAY(),"منتهٍ",IF(J490-TODAY()&lt;='القوائم والإعدادات'!$E$2,"قريب الانتهاء","ساري")))))</f>
        <v/>
      </c>
      <c r="S490" s="7" t="str">
        <f t="shared" ca="1" si="24"/>
        <v/>
      </c>
      <c r="T490" s="7" t="str">
        <f ca="1">IF(OR(R490="ساري",R490="قريب الانتهاء"),IF(S490&lt;='القوائم والإعدادات'!$E$4,"عاجل",IF(S490&lt;='القوائم والإعدادات'!$E$3,"خلال 60 يوم",IF(S490&lt;='القوائم والإعدادات'!$E$2,"خلال 90 يوم",""))),"")</f>
        <v/>
      </c>
      <c r="U490" s="7" t="str">
        <f>IF(B490="","",COUNTIF(التمديدات!$A$2:$A$301,B490))</f>
        <v/>
      </c>
      <c r="V490" s="10"/>
      <c r="W490" s="10"/>
      <c r="X490" s="7" t="str">
        <f t="shared" si="25"/>
        <v/>
      </c>
    </row>
    <row r="491" spans="1:24">
      <c r="A491" s="7">
        <v>490</v>
      </c>
      <c r="B491" s="10"/>
      <c r="C491" s="10"/>
      <c r="D491" s="10"/>
      <c r="E491" s="10"/>
      <c r="F491" s="10"/>
      <c r="G491" s="11"/>
      <c r="H491" s="11"/>
      <c r="I491" s="11"/>
      <c r="J491" s="12" t="str">
        <f>IF(B491="","",MAX(I491,_xlfn.MAXIFS(التمديدات!$C$2:$C$301,التمديدات!$A$2:$A$301,B491)))</f>
        <v/>
      </c>
      <c r="K491" s="7" t="str">
        <f t="shared" si="23"/>
        <v/>
      </c>
      <c r="L491" s="26"/>
      <c r="M491" s="27"/>
      <c r="N491" s="10"/>
      <c r="O491" s="10"/>
      <c r="P491" s="10"/>
      <c r="Q491" s="10"/>
      <c r="R491" s="7" t="str">
        <f ca="1">IF(B491="","",IF(Q491&lt;&gt;"",Q491,IF(H491&gt;TODAY(),"لم يبدأ بعد",IF(J491&lt;TODAY(),"منتهٍ",IF(J491-TODAY()&lt;='القوائم والإعدادات'!$E$2,"قريب الانتهاء","ساري")))))</f>
        <v/>
      </c>
      <c r="S491" s="7" t="str">
        <f t="shared" ca="1" si="24"/>
        <v/>
      </c>
      <c r="T491" s="7" t="str">
        <f ca="1">IF(OR(R491="ساري",R491="قريب الانتهاء"),IF(S491&lt;='القوائم والإعدادات'!$E$4,"عاجل",IF(S491&lt;='القوائم والإعدادات'!$E$3,"خلال 60 يوم",IF(S491&lt;='القوائم والإعدادات'!$E$2,"خلال 90 يوم",""))),"")</f>
        <v/>
      </c>
      <c r="U491" s="7" t="str">
        <f>IF(B491="","",COUNTIF(التمديدات!$A$2:$A$301,B491))</f>
        <v/>
      </c>
      <c r="V491" s="10"/>
      <c r="W491" s="10"/>
      <c r="X491" s="7" t="str">
        <f t="shared" si="25"/>
        <v/>
      </c>
    </row>
    <row r="492" spans="1:24">
      <c r="A492" s="7">
        <v>491</v>
      </c>
      <c r="B492" s="10"/>
      <c r="C492" s="10"/>
      <c r="D492" s="10"/>
      <c r="E492" s="10"/>
      <c r="F492" s="10"/>
      <c r="G492" s="11"/>
      <c r="H492" s="11"/>
      <c r="I492" s="11"/>
      <c r="J492" s="12" t="str">
        <f>IF(B492="","",MAX(I492,_xlfn.MAXIFS(التمديدات!$C$2:$C$301,التمديدات!$A$2:$A$301,B492)))</f>
        <v/>
      </c>
      <c r="K492" s="7" t="str">
        <f t="shared" si="23"/>
        <v/>
      </c>
      <c r="L492" s="26"/>
      <c r="M492" s="27"/>
      <c r="N492" s="10"/>
      <c r="O492" s="10"/>
      <c r="P492" s="10"/>
      <c r="Q492" s="10"/>
      <c r="R492" s="7" t="str">
        <f ca="1">IF(B492="","",IF(Q492&lt;&gt;"",Q492,IF(H492&gt;TODAY(),"لم يبدأ بعد",IF(J492&lt;TODAY(),"منتهٍ",IF(J492-TODAY()&lt;='القوائم والإعدادات'!$E$2,"قريب الانتهاء","ساري")))))</f>
        <v/>
      </c>
      <c r="S492" s="7" t="str">
        <f t="shared" ca="1" si="24"/>
        <v/>
      </c>
      <c r="T492" s="7" t="str">
        <f ca="1">IF(OR(R492="ساري",R492="قريب الانتهاء"),IF(S492&lt;='القوائم والإعدادات'!$E$4,"عاجل",IF(S492&lt;='القوائم والإعدادات'!$E$3,"خلال 60 يوم",IF(S492&lt;='القوائم والإعدادات'!$E$2,"خلال 90 يوم",""))),"")</f>
        <v/>
      </c>
      <c r="U492" s="7" t="str">
        <f>IF(B492="","",COUNTIF(التمديدات!$A$2:$A$301,B492))</f>
        <v/>
      </c>
      <c r="V492" s="10"/>
      <c r="W492" s="10"/>
      <c r="X492" s="7" t="str">
        <f t="shared" si="25"/>
        <v/>
      </c>
    </row>
    <row r="493" spans="1:24">
      <c r="A493" s="7">
        <v>492</v>
      </c>
      <c r="B493" s="10"/>
      <c r="C493" s="10"/>
      <c r="D493" s="10"/>
      <c r="E493" s="10"/>
      <c r="F493" s="10"/>
      <c r="G493" s="11"/>
      <c r="H493" s="11"/>
      <c r="I493" s="11"/>
      <c r="J493" s="12" t="str">
        <f>IF(B493="","",MAX(I493,_xlfn.MAXIFS(التمديدات!$C$2:$C$301,التمديدات!$A$2:$A$301,B493)))</f>
        <v/>
      </c>
      <c r="K493" s="7" t="str">
        <f t="shared" si="23"/>
        <v/>
      </c>
      <c r="L493" s="26"/>
      <c r="M493" s="27"/>
      <c r="N493" s="10"/>
      <c r="O493" s="10"/>
      <c r="P493" s="10"/>
      <c r="Q493" s="10"/>
      <c r="R493" s="7" t="str">
        <f ca="1">IF(B493="","",IF(Q493&lt;&gt;"",Q493,IF(H493&gt;TODAY(),"لم يبدأ بعد",IF(J493&lt;TODAY(),"منتهٍ",IF(J493-TODAY()&lt;='القوائم والإعدادات'!$E$2,"قريب الانتهاء","ساري")))))</f>
        <v/>
      </c>
      <c r="S493" s="7" t="str">
        <f t="shared" ca="1" si="24"/>
        <v/>
      </c>
      <c r="T493" s="7" t="str">
        <f ca="1">IF(OR(R493="ساري",R493="قريب الانتهاء"),IF(S493&lt;='القوائم والإعدادات'!$E$4,"عاجل",IF(S493&lt;='القوائم والإعدادات'!$E$3,"خلال 60 يوم",IF(S493&lt;='القوائم والإعدادات'!$E$2,"خلال 90 يوم",""))),"")</f>
        <v/>
      </c>
      <c r="U493" s="7" t="str">
        <f>IF(B493="","",COUNTIF(التمديدات!$A$2:$A$301,B493))</f>
        <v/>
      </c>
      <c r="V493" s="10"/>
      <c r="W493" s="10"/>
      <c r="X493" s="7" t="str">
        <f t="shared" si="25"/>
        <v/>
      </c>
    </row>
    <row r="494" spans="1:24">
      <c r="A494" s="7">
        <v>493</v>
      </c>
      <c r="B494" s="10"/>
      <c r="C494" s="10"/>
      <c r="D494" s="10"/>
      <c r="E494" s="10"/>
      <c r="F494" s="10"/>
      <c r="G494" s="11"/>
      <c r="H494" s="11"/>
      <c r="I494" s="11"/>
      <c r="J494" s="12" t="str">
        <f>IF(B494="","",MAX(I494,_xlfn.MAXIFS(التمديدات!$C$2:$C$301,التمديدات!$A$2:$A$301,B494)))</f>
        <v/>
      </c>
      <c r="K494" s="7" t="str">
        <f t="shared" si="23"/>
        <v/>
      </c>
      <c r="L494" s="26"/>
      <c r="M494" s="27"/>
      <c r="N494" s="10"/>
      <c r="O494" s="10"/>
      <c r="P494" s="10"/>
      <c r="Q494" s="10"/>
      <c r="R494" s="7" t="str">
        <f ca="1">IF(B494="","",IF(Q494&lt;&gt;"",Q494,IF(H494&gt;TODAY(),"لم يبدأ بعد",IF(J494&lt;TODAY(),"منتهٍ",IF(J494-TODAY()&lt;='القوائم والإعدادات'!$E$2,"قريب الانتهاء","ساري")))))</f>
        <v/>
      </c>
      <c r="S494" s="7" t="str">
        <f t="shared" ca="1" si="24"/>
        <v/>
      </c>
      <c r="T494" s="7" t="str">
        <f ca="1">IF(OR(R494="ساري",R494="قريب الانتهاء"),IF(S494&lt;='القوائم والإعدادات'!$E$4,"عاجل",IF(S494&lt;='القوائم والإعدادات'!$E$3,"خلال 60 يوم",IF(S494&lt;='القوائم والإعدادات'!$E$2,"خلال 90 يوم",""))),"")</f>
        <v/>
      </c>
      <c r="U494" s="7" t="str">
        <f>IF(B494="","",COUNTIF(التمديدات!$A$2:$A$301,B494))</f>
        <v/>
      </c>
      <c r="V494" s="10"/>
      <c r="W494" s="10"/>
      <c r="X494" s="7" t="str">
        <f t="shared" si="25"/>
        <v/>
      </c>
    </row>
    <row r="495" spans="1:24">
      <c r="A495" s="7">
        <v>494</v>
      </c>
      <c r="B495" s="10"/>
      <c r="C495" s="10"/>
      <c r="D495" s="10"/>
      <c r="E495" s="10"/>
      <c r="F495" s="10"/>
      <c r="G495" s="11"/>
      <c r="H495" s="11"/>
      <c r="I495" s="11"/>
      <c r="J495" s="12" t="str">
        <f>IF(B495="","",MAX(I495,_xlfn.MAXIFS(التمديدات!$C$2:$C$301,التمديدات!$A$2:$A$301,B495)))</f>
        <v/>
      </c>
      <c r="K495" s="7" t="str">
        <f t="shared" si="23"/>
        <v/>
      </c>
      <c r="L495" s="26"/>
      <c r="M495" s="27"/>
      <c r="N495" s="10"/>
      <c r="O495" s="10"/>
      <c r="P495" s="10"/>
      <c r="Q495" s="10"/>
      <c r="R495" s="7" t="str">
        <f ca="1">IF(B495="","",IF(Q495&lt;&gt;"",Q495,IF(H495&gt;TODAY(),"لم يبدأ بعد",IF(J495&lt;TODAY(),"منتهٍ",IF(J495-TODAY()&lt;='القوائم والإعدادات'!$E$2,"قريب الانتهاء","ساري")))))</f>
        <v/>
      </c>
      <c r="S495" s="7" t="str">
        <f t="shared" ca="1" si="24"/>
        <v/>
      </c>
      <c r="T495" s="7" t="str">
        <f ca="1">IF(OR(R495="ساري",R495="قريب الانتهاء"),IF(S495&lt;='القوائم والإعدادات'!$E$4,"عاجل",IF(S495&lt;='القوائم والإعدادات'!$E$3,"خلال 60 يوم",IF(S495&lt;='القوائم والإعدادات'!$E$2,"خلال 90 يوم",""))),"")</f>
        <v/>
      </c>
      <c r="U495" s="7" t="str">
        <f>IF(B495="","",COUNTIF(التمديدات!$A$2:$A$301,B495))</f>
        <v/>
      </c>
      <c r="V495" s="10"/>
      <c r="W495" s="10"/>
      <c r="X495" s="7" t="str">
        <f t="shared" si="25"/>
        <v/>
      </c>
    </row>
    <row r="496" spans="1:24">
      <c r="A496" s="7">
        <v>495</v>
      </c>
      <c r="B496" s="10"/>
      <c r="C496" s="10"/>
      <c r="D496" s="10"/>
      <c r="E496" s="10"/>
      <c r="F496" s="10"/>
      <c r="G496" s="11"/>
      <c r="H496" s="11"/>
      <c r="I496" s="11"/>
      <c r="J496" s="12" t="str">
        <f>IF(B496="","",MAX(I496,_xlfn.MAXIFS(التمديدات!$C$2:$C$301,التمديدات!$A$2:$A$301,B496)))</f>
        <v/>
      </c>
      <c r="K496" s="7" t="str">
        <f t="shared" si="23"/>
        <v/>
      </c>
      <c r="L496" s="26"/>
      <c r="M496" s="27"/>
      <c r="N496" s="10"/>
      <c r="O496" s="10"/>
      <c r="P496" s="10"/>
      <c r="Q496" s="10"/>
      <c r="R496" s="7" t="str">
        <f ca="1">IF(B496="","",IF(Q496&lt;&gt;"",Q496,IF(H496&gt;TODAY(),"لم يبدأ بعد",IF(J496&lt;TODAY(),"منتهٍ",IF(J496-TODAY()&lt;='القوائم والإعدادات'!$E$2,"قريب الانتهاء","ساري")))))</f>
        <v/>
      </c>
      <c r="S496" s="7" t="str">
        <f t="shared" ca="1" si="24"/>
        <v/>
      </c>
      <c r="T496" s="7" t="str">
        <f ca="1">IF(OR(R496="ساري",R496="قريب الانتهاء"),IF(S496&lt;='القوائم والإعدادات'!$E$4,"عاجل",IF(S496&lt;='القوائم والإعدادات'!$E$3,"خلال 60 يوم",IF(S496&lt;='القوائم والإعدادات'!$E$2,"خلال 90 يوم",""))),"")</f>
        <v/>
      </c>
      <c r="U496" s="7" t="str">
        <f>IF(B496="","",COUNTIF(التمديدات!$A$2:$A$301,B496))</f>
        <v/>
      </c>
      <c r="V496" s="10"/>
      <c r="W496" s="10"/>
      <c r="X496" s="7" t="str">
        <f t="shared" si="25"/>
        <v/>
      </c>
    </row>
    <row r="497" spans="1:24">
      <c r="A497" s="7">
        <v>496</v>
      </c>
      <c r="B497" s="10"/>
      <c r="C497" s="10"/>
      <c r="D497" s="10"/>
      <c r="E497" s="10"/>
      <c r="F497" s="10"/>
      <c r="G497" s="11"/>
      <c r="H497" s="11"/>
      <c r="I497" s="11"/>
      <c r="J497" s="12" t="str">
        <f>IF(B497="","",MAX(I497,_xlfn.MAXIFS(التمديدات!$C$2:$C$301,التمديدات!$A$2:$A$301,B497)))</f>
        <v/>
      </c>
      <c r="K497" s="7" t="str">
        <f t="shared" si="23"/>
        <v/>
      </c>
      <c r="L497" s="26"/>
      <c r="M497" s="27"/>
      <c r="N497" s="10"/>
      <c r="O497" s="10"/>
      <c r="P497" s="10"/>
      <c r="Q497" s="10"/>
      <c r="R497" s="7" t="str">
        <f ca="1">IF(B497="","",IF(Q497&lt;&gt;"",Q497,IF(H497&gt;TODAY(),"لم يبدأ بعد",IF(J497&lt;TODAY(),"منتهٍ",IF(J497-TODAY()&lt;='القوائم والإعدادات'!$E$2,"قريب الانتهاء","ساري")))))</f>
        <v/>
      </c>
      <c r="S497" s="7" t="str">
        <f t="shared" ca="1" si="24"/>
        <v/>
      </c>
      <c r="T497" s="7" t="str">
        <f ca="1">IF(OR(R497="ساري",R497="قريب الانتهاء"),IF(S497&lt;='القوائم والإعدادات'!$E$4,"عاجل",IF(S497&lt;='القوائم والإعدادات'!$E$3,"خلال 60 يوم",IF(S497&lt;='القوائم والإعدادات'!$E$2,"خلال 90 يوم",""))),"")</f>
        <v/>
      </c>
      <c r="U497" s="7" t="str">
        <f>IF(B497="","",COUNTIF(التمديدات!$A$2:$A$301,B497))</f>
        <v/>
      </c>
      <c r="V497" s="10"/>
      <c r="W497" s="10"/>
      <c r="X497" s="7" t="str">
        <f t="shared" si="25"/>
        <v/>
      </c>
    </row>
    <row r="498" spans="1:24">
      <c r="A498" s="7">
        <v>497</v>
      </c>
      <c r="B498" s="10"/>
      <c r="C498" s="10"/>
      <c r="D498" s="10"/>
      <c r="E498" s="10"/>
      <c r="F498" s="10"/>
      <c r="G498" s="11"/>
      <c r="H498" s="11"/>
      <c r="I498" s="11"/>
      <c r="J498" s="12" t="str">
        <f>IF(B498="","",MAX(I498,_xlfn.MAXIFS(التمديدات!$C$2:$C$301,التمديدات!$A$2:$A$301,B498)))</f>
        <v/>
      </c>
      <c r="K498" s="7" t="str">
        <f t="shared" si="23"/>
        <v/>
      </c>
      <c r="L498" s="26"/>
      <c r="M498" s="27"/>
      <c r="N498" s="10"/>
      <c r="O498" s="10"/>
      <c r="P498" s="10"/>
      <c r="Q498" s="10"/>
      <c r="R498" s="7" t="str">
        <f ca="1">IF(B498="","",IF(Q498&lt;&gt;"",Q498,IF(H498&gt;TODAY(),"لم يبدأ بعد",IF(J498&lt;TODAY(),"منتهٍ",IF(J498-TODAY()&lt;='القوائم والإعدادات'!$E$2,"قريب الانتهاء","ساري")))))</f>
        <v/>
      </c>
      <c r="S498" s="7" t="str">
        <f t="shared" ca="1" si="24"/>
        <v/>
      </c>
      <c r="T498" s="7" t="str">
        <f ca="1">IF(OR(R498="ساري",R498="قريب الانتهاء"),IF(S498&lt;='القوائم والإعدادات'!$E$4,"عاجل",IF(S498&lt;='القوائم والإعدادات'!$E$3,"خلال 60 يوم",IF(S498&lt;='القوائم والإعدادات'!$E$2,"خلال 90 يوم",""))),"")</f>
        <v/>
      </c>
      <c r="U498" s="7" t="str">
        <f>IF(B498="","",COUNTIF(التمديدات!$A$2:$A$301,B498))</f>
        <v/>
      </c>
      <c r="V498" s="10"/>
      <c r="W498" s="10"/>
      <c r="X498" s="7" t="str">
        <f t="shared" si="25"/>
        <v/>
      </c>
    </row>
    <row r="499" spans="1:24">
      <c r="A499" s="7">
        <v>498</v>
      </c>
      <c r="B499" s="10"/>
      <c r="C499" s="10"/>
      <c r="D499" s="10"/>
      <c r="E499" s="10"/>
      <c r="F499" s="10"/>
      <c r="G499" s="11"/>
      <c r="H499" s="11"/>
      <c r="I499" s="11"/>
      <c r="J499" s="12" t="str">
        <f>IF(B499="","",MAX(I499,_xlfn.MAXIFS(التمديدات!$C$2:$C$301,التمديدات!$A$2:$A$301,B499)))</f>
        <v/>
      </c>
      <c r="K499" s="7" t="str">
        <f t="shared" si="23"/>
        <v/>
      </c>
      <c r="L499" s="26"/>
      <c r="M499" s="27"/>
      <c r="N499" s="10"/>
      <c r="O499" s="10"/>
      <c r="P499" s="10"/>
      <c r="Q499" s="10"/>
      <c r="R499" s="7" t="str">
        <f ca="1">IF(B499="","",IF(Q499&lt;&gt;"",Q499,IF(H499&gt;TODAY(),"لم يبدأ بعد",IF(J499&lt;TODAY(),"منتهٍ",IF(J499-TODAY()&lt;='القوائم والإعدادات'!$E$2,"قريب الانتهاء","ساري")))))</f>
        <v/>
      </c>
      <c r="S499" s="7" t="str">
        <f t="shared" ca="1" si="24"/>
        <v/>
      </c>
      <c r="T499" s="7" t="str">
        <f ca="1">IF(OR(R499="ساري",R499="قريب الانتهاء"),IF(S499&lt;='القوائم والإعدادات'!$E$4,"عاجل",IF(S499&lt;='القوائم والإعدادات'!$E$3,"خلال 60 يوم",IF(S499&lt;='القوائم والإعدادات'!$E$2,"خلال 90 يوم",""))),"")</f>
        <v/>
      </c>
      <c r="U499" s="7" t="str">
        <f>IF(B499="","",COUNTIF(التمديدات!$A$2:$A$301,B499))</f>
        <v/>
      </c>
      <c r="V499" s="10"/>
      <c r="W499" s="10"/>
      <c r="X499" s="7" t="str">
        <f t="shared" si="25"/>
        <v/>
      </c>
    </row>
    <row r="500" spans="1:24">
      <c r="A500" s="7">
        <v>499</v>
      </c>
      <c r="B500" s="10"/>
      <c r="C500" s="10"/>
      <c r="D500" s="10"/>
      <c r="E500" s="10"/>
      <c r="F500" s="10"/>
      <c r="G500" s="11"/>
      <c r="H500" s="11"/>
      <c r="I500" s="11"/>
      <c r="J500" s="12" t="str">
        <f>IF(B500="","",MAX(I500,_xlfn.MAXIFS(التمديدات!$C$2:$C$301,التمديدات!$A$2:$A$301,B500)))</f>
        <v/>
      </c>
      <c r="K500" s="7" t="str">
        <f t="shared" si="23"/>
        <v/>
      </c>
      <c r="L500" s="26"/>
      <c r="M500" s="27"/>
      <c r="N500" s="10"/>
      <c r="O500" s="10"/>
      <c r="P500" s="10"/>
      <c r="Q500" s="10"/>
      <c r="R500" s="7" t="str">
        <f ca="1">IF(B500="","",IF(Q500&lt;&gt;"",Q500,IF(H500&gt;TODAY(),"لم يبدأ بعد",IF(J500&lt;TODAY(),"منتهٍ",IF(J500-TODAY()&lt;='القوائم والإعدادات'!$E$2,"قريب الانتهاء","ساري")))))</f>
        <v/>
      </c>
      <c r="S500" s="7" t="str">
        <f t="shared" ca="1" si="24"/>
        <v/>
      </c>
      <c r="T500" s="7" t="str">
        <f ca="1">IF(OR(R500="ساري",R500="قريب الانتهاء"),IF(S500&lt;='القوائم والإعدادات'!$E$4,"عاجل",IF(S500&lt;='القوائم والإعدادات'!$E$3,"خلال 60 يوم",IF(S500&lt;='القوائم والإعدادات'!$E$2,"خلال 90 يوم",""))),"")</f>
        <v/>
      </c>
      <c r="U500" s="7" t="str">
        <f>IF(B500="","",COUNTIF(التمديدات!$A$2:$A$301,B500))</f>
        <v/>
      </c>
      <c r="V500" s="10"/>
      <c r="W500" s="10"/>
      <c r="X500" s="7" t="str">
        <f t="shared" si="25"/>
        <v/>
      </c>
    </row>
    <row r="501" spans="1:24">
      <c r="A501" s="7">
        <v>500</v>
      </c>
      <c r="B501" s="10"/>
      <c r="C501" s="10"/>
      <c r="D501" s="10"/>
      <c r="E501" s="10"/>
      <c r="F501" s="10"/>
      <c r="G501" s="11"/>
      <c r="H501" s="11"/>
      <c r="I501" s="11"/>
      <c r="J501" s="12" t="str">
        <f>IF(B501="","",MAX(I501,_xlfn.MAXIFS(التمديدات!$C$2:$C$301,التمديدات!$A$2:$A$301,B501)))</f>
        <v/>
      </c>
      <c r="K501" s="7" t="str">
        <f t="shared" si="23"/>
        <v/>
      </c>
      <c r="L501" s="26"/>
      <c r="M501" s="27"/>
      <c r="N501" s="10"/>
      <c r="O501" s="10"/>
      <c r="P501" s="10"/>
      <c r="Q501" s="10"/>
      <c r="R501" s="7" t="str">
        <f ca="1">IF(B501="","",IF(Q501&lt;&gt;"",Q501,IF(H501&gt;TODAY(),"لم يبدأ بعد",IF(J501&lt;TODAY(),"منتهٍ",IF(J501-TODAY()&lt;='القوائم والإعدادات'!$E$2,"قريب الانتهاء","ساري")))))</f>
        <v/>
      </c>
      <c r="S501" s="7" t="str">
        <f t="shared" ca="1" si="24"/>
        <v/>
      </c>
      <c r="T501" s="7" t="str">
        <f ca="1">IF(OR(R501="ساري",R501="قريب الانتهاء"),IF(S501&lt;='القوائم والإعدادات'!$E$4,"عاجل",IF(S501&lt;='القوائم والإعدادات'!$E$3,"خلال 60 يوم",IF(S501&lt;='القوائم والإعدادات'!$E$2,"خلال 90 يوم",""))),"")</f>
        <v/>
      </c>
      <c r="U501" s="7" t="str">
        <f>IF(B501="","",COUNTIF(التمديدات!$A$2:$A$301,B501))</f>
        <v/>
      </c>
      <c r="V501" s="10"/>
      <c r="W501" s="10"/>
      <c r="X501" s="7" t="str">
        <f t="shared" si="25"/>
        <v/>
      </c>
    </row>
  </sheetData>
  <autoFilter ref="A1:X501" xr:uid="{00000000-0009-0000-0000-000001000000}"/>
  <phoneticPr fontId="14" type="noConversion"/>
  <conditionalFormatting sqref="R2:R501">
    <cfRule type="cellIs" dxfId="7" priority="2" operator="equal">
      <formula>"ساري"</formula>
    </cfRule>
    <cfRule type="cellIs" dxfId="6" priority="3" operator="equal">
      <formula>"قريب الانتهاء"</formula>
    </cfRule>
    <cfRule type="cellIs" dxfId="5" priority="4" operator="equal">
      <formula>"منتهٍ"</formula>
    </cfRule>
    <cfRule type="cellIs" dxfId="4" priority="5" operator="equal">
      <formula>"لم يبدأ بعد"</formula>
    </cfRule>
    <cfRule type="cellIs" dxfId="3" priority="6" operator="equal">
      <formula>"معلق"</formula>
    </cfRule>
    <cfRule type="cellIs" dxfId="2" priority="7" operator="equal">
      <formula>"منتهٍ قبل موعده"</formula>
    </cfRule>
  </conditionalFormatting>
  <conditionalFormatting sqref="T2:T501">
    <cfRule type="cellIs" dxfId="1" priority="8" operator="equal">
      <formula>"عاجل"</formula>
    </cfRule>
  </conditionalFormatting>
  <conditionalFormatting sqref="X2:X501">
    <cfRule type="cellIs" dxfId="0" priority="9" operator="equal">
      <formula>"مكرر!"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100-000000000000}">
          <x14:formula1>
            <xm:f>الشركات!$A$2:$A$101</xm:f>
          </x14:formula1>
          <x14:formula2>
            <xm:f>0</xm:f>
          </x14:formula2>
          <xm:sqref>D2:D501</xm:sqref>
        </x14:dataValidation>
        <x14:dataValidation type="list" allowBlank="1" xr:uid="{00000000-0002-0000-0100-000002000000}">
          <x14:formula1>
            <xm:f>'القوائم والإعدادات'!$B$2:$B$20</xm:f>
          </x14:formula1>
          <x14:formula2>
            <xm:f>0</xm:f>
          </x14:formula2>
          <xm:sqref>O2:O501</xm:sqref>
        </x14:dataValidation>
        <x14:dataValidation type="list" allowBlank="1" xr:uid="{00000000-0002-0000-0100-000003000000}">
          <x14:formula1>
            <xm:f>'القوائم والإعدادات'!$G$2:$G$3</xm:f>
          </x14:formula1>
          <x14:formula2>
            <xm:f>0</xm:f>
          </x14:formula2>
          <xm:sqref>Q2:Q501</xm:sqref>
        </x14:dataValidation>
        <x14:dataValidation type="list" allowBlank="1" xr:uid="{00000000-0002-0000-0100-000001000000}">
          <x14:formula1>
            <xm:f>'القوائم والإعدادات'!$A$2:$A$20</xm:f>
          </x14:formula1>
          <x14:formula2>
            <xm:f>0</xm:f>
          </x14:formula2>
          <xm:sqref>F2:F33 E2:E501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1"/>
  <sheetViews>
    <sheetView rightToLeft="1" zoomScaleNormal="100" workbookViewId="0"/>
  </sheetViews>
  <sheetFormatPr defaultColWidth="8.6640625" defaultRowHeight="14.4"/>
  <cols>
    <col min="1" max="1" width="34" customWidth="1"/>
    <col min="2" max="2" width="16" customWidth="1"/>
    <col min="3" max="4" width="26" customWidth="1"/>
    <col min="5" max="5" width="12" customWidth="1"/>
    <col min="6" max="6" width="14" customWidth="1"/>
  </cols>
  <sheetData>
    <row r="1" spans="1:6">
      <c r="A1" s="9" t="s">
        <v>72</v>
      </c>
      <c r="B1" s="9" t="s">
        <v>73</v>
      </c>
      <c r="C1" s="9" t="s">
        <v>74</v>
      </c>
      <c r="D1" s="9" t="s">
        <v>75</v>
      </c>
      <c r="E1" s="9" t="s">
        <v>76</v>
      </c>
      <c r="F1" s="9" t="s">
        <v>77</v>
      </c>
    </row>
    <row r="2" spans="1:6">
      <c r="A2" s="10" t="s">
        <v>41</v>
      </c>
      <c r="B2" s="10" t="s">
        <v>78</v>
      </c>
      <c r="C2" s="10" t="s">
        <v>79</v>
      </c>
      <c r="D2" s="10" t="s">
        <v>80</v>
      </c>
      <c r="E2" s="7">
        <f>IF(A2="","",COUNTIF(العقود!$D$2:$D$501,A2))</f>
        <v>0</v>
      </c>
      <c r="F2" s="7">
        <f>IF(A2="","",COUNTIFS(العقود!$D$2:$D$501,A2,العقود!$R$2:$R$501,"ساري")+COUNTIFS(العقود!$D$2:$D$501,A2,العقود!$R$2:$R$501,"قريب الانتهاء"))</f>
        <v>0</v>
      </c>
    </row>
    <row r="3" spans="1:6">
      <c r="A3" s="10" t="s">
        <v>46</v>
      </c>
      <c r="B3" s="10" t="s">
        <v>81</v>
      </c>
      <c r="C3" s="10" t="s">
        <v>79</v>
      </c>
      <c r="D3" s="10" t="s">
        <v>80</v>
      </c>
      <c r="E3" s="7">
        <f>IF(A3="","",COUNTIF(العقود!$D$2:$D$501,A3))</f>
        <v>0</v>
      </c>
      <c r="F3" s="7">
        <f>IF(A3="","",COUNTIFS(العقود!$D$2:$D$501,A3,العقود!$R$2:$R$501,"ساري")+COUNTIFS(العقود!$D$2:$D$501,A3,العقود!$R$2:$R$501,"قريب الانتهاء"))</f>
        <v>0</v>
      </c>
    </row>
    <row r="4" spans="1:6">
      <c r="A4" s="10" t="s">
        <v>51</v>
      </c>
      <c r="B4" s="10" t="s">
        <v>82</v>
      </c>
      <c r="C4" s="10" t="s">
        <v>79</v>
      </c>
      <c r="D4" s="10" t="s">
        <v>80</v>
      </c>
      <c r="E4" s="7">
        <f>IF(A4="","",COUNTIF(العقود!$D$2:$D$501,A4))</f>
        <v>0</v>
      </c>
      <c r="F4" s="7">
        <f>IF(A4="","",COUNTIFS(العقود!$D$2:$D$501,A4,العقود!$R$2:$R$501,"ساري")+COUNTIFS(العقود!$D$2:$D$501,A4,العقود!$R$2:$R$501,"قريب الانتهاء"))</f>
        <v>0</v>
      </c>
    </row>
    <row r="5" spans="1:6">
      <c r="A5" s="10" t="s">
        <v>56</v>
      </c>
      <c r="B5" s="10" t="s">
        <v>83</v>
      </c>
      <c r="C5" s="10" t="s">
        <v>79</v>
      </c>
      <c r="D5" s="10" t="s">
        <v>80</v>
      </c>
      <c r="E5" s="7">
        <f>IF(A5="","",COUNTIF(العقود!$D$2:$D$501,A5))</f>
        <v>0</v>
      </c>
      <c r="F5" s="7">
        <f>IF(A5="","",COUNTIFS(العقود!$D$2:$D$501,A5,العقود!$R$2:$R$501,"ساري")+COUNTIFS(العقود!$D$2:$D$501,A5,العقود!$R$2:$R$501,"قريب الانتهاء"))</f>
        <v>0</v>
      </c>
    </row>
    <row r="6" spans="1:6">
      <c r="A6" s="10" t="s">
        <v>60</v>
      </c>
      <c r="B6" s="10" t="s">
        <v>84</v>
      </c>
      <c r="C6" s="10" t="s">
        <v>79</v>
      </c>
      <c r="D6" s="10" t="s">
        <v>80</v>
      </c>
      <c r="E6" s="7">
        <f>IF(A6="","",COUNTIF(العقود!$D$2:$D$501,A6))</f>
        <v>0</v>
      </c>
      <c r="F6" s="7">
        <f>IF(A6="","",COUNTIFS(العقود!$D$2:$D$501,A6,العقود!$R$2:$R$501,"ساري")+COUNTIFS(العقود!$D$2:$D$501,A6,العقود!$R$2:$R$501,"قريب الانتهاء"))</f>
        <v>0</v>
      </c>
    </row>
    <row r="7" spans="1:6">
      <c r="A7" s="10" t="s">
        <v>64</v>
      </c>
      <c r="B7" s="10" t="s">
        <v>85</v>
      </c>
      <c r="C7" s="10" t="s">
        <v>79</v>
      </c>
      <c r="D7" s="10" t="s">
        <v>80</v>
      </c>
      <c r="E7" s="7">
        <f>IF(A7="","",COUNTIF(العقود!$D$2:$D$501,A7))</f>
        <v>0</v>
      </c>
      <c r="F7" s="7">
        <f>IF(A7="","",COUNTIFS(العقود!$D$2:$D$501,A7,العقود!$R$2:$R$501,"ساري")+COUNTIFS(العقود!$D$2:$D$501,A7,العقود!$R$2:$R$501,"قريب الانتهاء"))</f>
        <v>0</v>
      </c>
    </row>
    <row r="8" spans="1:6">
      <c r="A8" s="7"/>
      <c r="B8" s="7"/>
      <c r="C8" s="7"/>
      <c r="D8" s="7"/>
      <c r="E8" s="7" t="str">
        <f>IF(A8="","",COUNTIF(العقود!$D$2:$D$501,A8))</f>
        <v/>
      </c>
      <c r="F8" s="7" t="str">
        <f>IF(A8="","",COUNTIFS(العقود!$D$2:$D$501,A8,العقود!$R$2:$R$501,"ساري")+COUNTIFS(العقود!$D$2:$D$501,A8,العقود!$R$2:$R$501,"قريب الانتهاء"))</f>
        <v/>
      </c>
    </row>
    <row r="9" spans="1:6">
      <c r="A9" s="7"/>
      <c r="B9" s="7"/>
      <c r="C9" s="7"/>
      <c r="D9" s="7"/>
      <c r="E9" s="7" t="str">
        <f>IF(A9="","",COUNTIF(العقود!$D$2:$D$501,A9))</f>
        <v/>
      </c>
      <c r="F9" s="7" t="str">
        <f>IF(A9="","",COUNTIFS(العقود!$D$2:$D$501,A9,العقود!$R$2:$R$501,"ساري")+COUNTIFS(العقود!$D$2:$D$501,A9,العقود!$R$2:$R$501,"قريب الانتهاء"))</f>
        <v/>
      </c>
    </row>
    <row r="10" spans="1:6">
      <c r="A10" s="7"/>
      <c r="B10" s="7"/>
      <c r="C10" s="7"/>
      <c r="D10" s="7"/>
      <c r="E10" s="7" t="str">
        <f>IF(A10="","",COUNTIF(العقود!$D$2:$D$501,A10))</f>
        <v/>
      </c>
      <c r="F10" s="7" t="str">
        <f>IF(A10="","",COUNTIFS(العقود!$D$2:$D$501,A10,العقود!$R$2:$R$501,"ساري")+COUNTIFS(العقود!$D$2:$D$501,A10,العقود!$R$2:$R$501,"قريب الانتهاء"))</f>
        <v/>
      </c>
    </row>
    <row r="11" spans="1:6">
      <c r="A11" s="7"/>
      <c r="B11" s="7"/>
      <c r="C11" s="7"/>
      <c r="D11" s="7"/>
      <c r="E11" s="7" t="str">
        <f>IF(A11="","",COUNTIF(العقود!$D$2:$D$501,A11))</f>
        <v/>
      </c>
      <c r="F11" s="7" t="str">
        <f>IF(A11="","",COUNTIFS(العقود!$D$2:$D$501,A11,العقود!$R$2:$R$501,"ساري")+COUNTIFS(العقود!$D$2:$D$501,A11,العقود!$R$2:$R$501,"قريب الانتهاء"))</f>
        <v/>
      </c>
    </row>
    <row r="12" spans="1:6">
      <c r="A12" s="7"/>
      <c r="B12" s="7"/>
      <c r="C12" s="7"/>
      <c r="D12" s="7"/>
      <c r="E12" s="7" t="str">
        <f>IF(A12="","",COUNTIF(العقود!$D$2:$D$501,A12))</f>
        <v/>
      </c>
      <c r="F12" s="7" t="str">
        <f>IF(A12="","",COUNTIFS(العقود!$D$2:$D$501,A12,العقود!$R$2:$R$501,"ساري")+COUNTIFS(العقود!$D$2:$D$501,A12,العقود!$R$2:$R$501,"قريب الانتهاء"))</f>
        <v/>
      </c>
    </row>
    <row r="13" spans="1:6">
      <c r="A13" s="7"/>
      <c r="B13" s="7"/>
      <c r="C13" s="7"/>
      <c r="D13" s="7"/>
      <c r="E13" s="7" t="str">
        <f>IF(A13="","",COUNTIF(العقود!$D$2:$D$501,A13))</f>
        <v/>
      </c>
      <c r="F13" s="7" t="str">
        <f>IF(A13="","",COUNTIFS(العقود!$D$2:$D$501,A13,العقود!$R$2:$R$501,"ساري")+COUNTIFS(العقود!$D$2:$D$501,A13,العقود!$R$2:$R$501,"قريب الانتهاء"))</f>
        <v/>
      </c>
    </row>
    <row r="14" spans="1:6">
      <c r="A14" s="7"/>
      <c r="B14" s="7"/>
      <c r="C14" s="7"/>
      <c r="D14" s="7"/>
      <c r="E14" s="7" t="str">
        <f>IF(A14="","",COUNTIF(العقود!$D$2:$D$501,A14))</f>
        <v/>
      </c>
      <c r="F14" s="7" t="str">
        <f>IF(A14="","",COUNTIFS(العقود!$D$2:$D$501,A14,العقود!$R$2:$R$501,"ساري")+COUNTIFS(العقود!$D$2:$D$501,A14,العقود!$R$2:$R$501,"قريب الانتهاء"))</f>
        <v/>
      </c>
    </row>
    <row r="15" spans="1:6">
      <c r="A15" s="7"/>
      <c r="B15" s="7"/>
      <c r="C15" s="7"/>
      <c r="D15" s="7"/>
      <c r="E15" s="7" t="str">
        <f>IF(A15="","",COUNTIF(العقود!$D$2:$D$501,A15))</f>
        <v/>
      </c>
      <c r="F15" s="7" t="str">
        <f>IF(A15="","",COUNTIFS(العقود!$D$2:$D$501,A15,العقود!$R$2:$R$501,"ساري")+COUNTIFS(العقود!$D$2:$D$501,A15,العقود!$R$2:$R$501,"قريب الانتهاء"))</f>
        <v/>
      </c>
    </row>
    <row r="16" spans="1:6">
      <c r="A16" s="7"/>
      <c r="B16" s="7"/>
      <c r="C16" s="7"/>
      <c r="D16" s="7"/>
      <c r="E16" s="7" t="str">
        <f>IF(A16="","",COUNTIF(العقود!$D$2:$D$501,A16))</f>
        <v/>
      </c>
      <c r="F16" s="7" t="str">
        <f>IF(A16="","",COUNTIFS(العقود!$D$2:$D$501,A16,العقود!$R$2:$R$501,"ساري")+COUNTIFS(العقود!$D$2:$D$501,A16,العقود!$R$2:$R$501,"قريب الانتهاء"))</f>
        <v/>
      </c>
    </row>
    <row r="17" spans="1:6">
      <c r="A17" s="7"/>
      <c r="B17" s="7"/>
      <c r="C17" s="7"/>
      <c r="D17" s="7"/>
      <c r="E17" s="7" t="str">
        <f>IF(A17="","",COUNTIF(العقود!$D$2:$D$501,A17))</f>
        <v/>
      </c>
      <c r="F17" s="7" t="str">
        <f>IF(A17="","",COUNTIFS(العقود!$D$2:$D$501,A17,العقود!$R$2:$R$501,"ساري")+COUNTIFS(العقود!$D$2:$D$501,A17,العقود!$R$2:$R$501,"قريب الانتهاء"))</f>
        <v/>
      </c>
    </row>
    <row r="18" spans="1:6">
      <c r="A18" s="7"/>
      <c r="B18" s="7"/>
      <c r="C18" s="7"/>
      <c r="D18" s="7"/>
      <c r="E18" s="7" t="str">
        <f>IF(A18="","",COUNTIF(العقود!$D$2:$D$501,A18))</f>
        <v/>
      </c>
      <c r="F18" s="7" t="str">
        <f>IF(A18="","",COUNTIFS(العقود!$D$2:$D$501,A18,العقود!$R$2:$R$501,"ساري")+COUNTIFS(العقود!$D$2:$D$501,A18,العقود!$R$2:$R$501,"قريب الانتهاء"))</f>
        <v/>
      </c>
    </row>
    <row r="19" spans="1:6">
      <c r="A19" s="7"/>
      <c r="B19" s="7"/>
      <c r="C19" s="7"/>
      <c r="D19" s="7"/>
      <c r="E19" s="7" t="str">
        <f>IF(A19="","",COUNTIF(العقود!$D$2:$D$501,A19))</f>
        <v/>
      </c>
      <c r="F19" s="7" t="str">
        <f>IF(A19="","",COUNTIFS(العقود!$D$2:$D$501,A19,العقود!$R$2:$R$501,"ساري")+COUNTIFS(العقود!$D$2:$D$501,A19,العقود!$R$2:$R$501,"قريب الانتهاء"))</f>
        <v/>
      </c>
    </row>
    <row r="20" spans="1:6">
      <c r="A20" s="7"/>
      <c r="B20" s="7"/>
      <c r="C20" s="7"/>
      <c r="D20" s="7"/>
      <c r="E20" s="7" t="str">
        <f>IF(A20="","",COUNTIF(العقود!$D$2:$D$501,A20))</f>
        <v/>
      </c>
      <c r="F20" s="7" t="str">
        <f>IF(A20="","",COUNTIFS(العقود!$D$2:$D$501,A20,العقود!$R$2:$R$501,"ساري")+COUNTIFS(العقود!$D$2:$D$501,A20,العقود!$R$2:$R$501,"قريب الانتهاء"))</f>
        <v/>
      </c>
    </row>
    <row r="21" spans="1:6">
      <c r="A21" s="7"/>
      <c r="B21" s="7"/>
      <c r="C21" s="7"/>
      <c r="D21" s="7"/>
      <c r="E21" s="7" t="str">
        <f>IF(A21="","",COUNTIF(العقود!$D$2:$D$501,A21))</f>
        <v/>
      </c>
      <c r="F21" s="7" t="str">
        <f>IF(A21="","",COUNTIFS(العقود!$D$2:$D$501,A21,العقود!$R$2:$R$501,"ساري")+COUNTIFS(العقود!$D$2:$D$501,A21,العقود!$R$2:$R$501,"قريب الانتهاء"))</f>
        <v/>
      </c>
    </row>
    <row r="22" spans="1:6">
      <c r="A22" s="7"/>
      <c r="B22" s="7"/>
      <c r="C22" s="7"/>
      <c r="D22" s="7"/>
      <c r="E22" s="7" t="str">
        <f>IF(A22="","",COUNTIF(العقود!$D$2:$D$501,A22))</f>
        <v/>
      </c>
      <c r="F22" s="7" t="str">
        <f>IF(A22="","",COUNTIFS(العقود!$D$2:$D$501,A22,العقود!$R$2:$R$501,"ساري")+COUNTIFS(العقود!$D$2:$D$501,A22,العقود!$R$2:$R$501,"قريب الانتهاء"))</f>
        <v/>
      </c>
    </row>
    <row r="23" spans="1:6">
      <c r="A23" s="7"/>
      <c r="B23" s="7"/>
      <c r="C23" s="7"/>
      <c r="D23" s="7"/>
      <c r="E23" s="7" t="str">
        <f>IF(A23="","",COUNTIF(العقود!$D$2:$D$501,A23))</f>
        <v/>
      </c>
      <c r="F23" s="7" t="str">
        <f>IF(A23="","",COUNTIFS(العقود!$D$2:$D$501,A23,العقود!$R$2:$R$501,"ساري")+COUNTIFS(العقود!$D$2:$D$501,A23,العقود!$R$2:$R$501,"قريب الانتهاء"))</f>
        <v/>
      </c>
    </row>
    <row r="24" spans="1:6">
      <c r="A24" s="7"/>
      <c r="B24" s="7"/>
      <c r="C24" s="7"/>
      <c r="D24" s="7"/>
      <c r="E24" s="7" t="str">
        <f>IF(A24="","",COUNTIF(العقود!$D$2:$D$501,A24))</f>
        <v/>
      </c>
      <c r="F24" s="7" t="str">
        <f>IF(A24="","",COUNTIFS(العقود!$D$2:$D$501,A24,العقود!$R$2:$R$501,"ساري")+COUNTIFS(العقود!$D$2:$D$501,A24,العقود!$R$2:$R$501,"قريب الانتهاء"))</f>
        <v/>
      </c>
    </row>
    <row r="25" spans="1:6">
      <c r="A25" s="7"/>
      <c r="B25" s="7"/>
      <c r="C25" s="7"/>
      <c r="D25" s="7"/>
      <c r="E25" s="7" t="str">
        <f>IF(A25="","",COUNTIF(العقود!$D$2:$D$501,A25))</f>
        <v/>
      </c>
      <c r="F25" s="7" t="str">
        <f>IF(A25="","",COUNTIFS(العقود!$D$2:$D$501,A25,العقود!$R$2:$R$501,"ساري")+COUNTIFS(العقود!$D$2:$D$501,A25,العقود!$R$2:$R$501,"قريب الانتهاء"))</f>
        <v/>
      </c>
    </row>
    <row r="26" spans="1:6">
      <c r="A26" s="7"/>
      <c r="B26" s="7"/>
      <c r="C26" s="7"/>
      <c r="D26" s="7"/>
      <c r="E26" s="7" t="str">
        <f>IF(A26="","",COUNTIF(العقود!$D$2:$D$501,A26))</f>
        <v/>
      </c>
      <c r="F26" s="7" t="str">
        <f>IF(A26="","",COUNTIFS(العقود!$D$2:$D$501,A26,العقود!$R$2:$R$501,"ساري")+COUNTIFS(العقود!$D$2:$D$501,A26,العقود!$R$2:$R$501,"قريب الانتهاء"))</f>
        <v/>
      </c>
    </row>
    <row r="27" spans="1:6">
      <c r="A27" s="7"/>
      <c r="B27" s="7"/>
      <c r="C27" s="7"/>
      <c r="D27" s="7"/>
      <c r="E27" s="7" t="str">
        <f>IF(A27="","",COUNTIF(العقود!$D$2:$D$501,A27))</f>
        <v/>
      </c>
      <c r="F27" s="7" t="str">
        <f>IF(A27="","",COUNTIFS(العقود!$D$2:$D$501,A27,العقود!$R$2:$R$501,"ساري")+COUNTIFS(العقود!$D$2:$D$501,A27,العقود!$R$2:$R$501,"قريب الانتهاء"))</f>
        <v/>
      </c>
    </row>
    <row r="28" spans="1:6">
      <c r="A28" s="7"/>
      <c r="B28" s="7"/>
      <c r="C28" s="7"/>
      <c r="D28" s="7"/>
      <c r="E28" s="7" t="str">
        <f>IF(A28="","",COUNTIF(العقود!$D$2:$D$501,A28))</f>
        <v/>
      </c>
      <c r="F28" s="7" t="str">
        <f>IF(A28="","",COUNTIFS(العقود!$D$2:$D$501,A28,العقود!$R$2:$R$501,"ساري")+COUNTIFS(العقود!$D$2:$D$501,A28,العقود!$R$2:$R$501,"قريب الانتهاء"))</f>
        <v/>
      </c>
    </row>
    <row r="29" spans="1:6">
      <c r="A29" s="7"/>
      <c r="B29" s="7"/>
      <c r="C29" s="7"/>
      <c r="D29" s="7"/>
      <c r="E29" s="7" t="str">
        <f>IF(A29="","",COUNTIF(العقود!$D$2:$D$501,A29))</f>
        <v/>
      </c>
      <c r="F29" s="7" t="str">
        <f>IF(A29="","",COUNTIFS(العقود!$D$2:$D$501,A29,العقود!$R$2:$R$501,"ساري")+COUNTIFS(العقود!$D$2:$D$501,A29,العقود!$R$2:$R$501,"قريب الانتهاء"))</f>
        <v/>
      </c>
    </row>
    <row r="30" spans="1:6">
      <c r="A30" s="7"/>
      <c r="B30" s="7"/>
      <c r="C30" s="7"/>
      <c r="D30" s="7"/>
      <c r="E30" s="7" t="str">
        <f>IF(A30="","",COUNTIF(العقود!$D$2:$D$501,A30))</f>
        <v/>
      </c>
      <c r="F30" s="7" t="str">
        <f>IF(A30="","",COUNTIFS(العقود!$D$2:$D$501,A30,العقود!$R$2:$R$501,"ساري")+COUNTIFS(العقود!$D$2:$D$501,A30,العقود!$R$2:$R$501,"قريب الانتهاء"))</f>
        <v/>
      </c>
    </row>
    <row r="31" spans="1:6">
      <c r="A31" s="7"/>
      <c r="B31" s="7"/>
      <c r="C31" s="7"/>
      <c r="D31" s="7"/>
      <c r="E31" s="7" t="str">
        <f>IF(A31="","",COUNTIF(العقود!$D$2:$D$501,A31))</f>
        <v/>
      </c>
      <c r="F31" s="7" t="str">
        <f>IF(A31="","",COUNTIFS(العقود!$D$2:$D$501,A31,العقود!$R$2:$R$501,"ساري")+COUNTIFS(العقود!$D$2:$D$501,A31,العقود!$R$2:$R$501,"قريب الانتهاء"))</f>
        <v/>
      </c>
    </row>
    <row r="32" spans="1:6">
      <c r="A32" s="7"/>
      <c r="B32" s="7"/>
      <c r="C32" s="7"/>
      <c r="D32" s="7"/>
      <c r="E32" s="7" t="str">
        <f>IF(A32="","",COUNTIF(العقود!$D$2:$D$501,A32))</f>
        <v/>
      </c>
      <c r="F32" s="7" t="str">
        <f>IF(A32="","",COUNTIFS(العقود!$D$2:$D$501,A32,العقود!$R$2:$R$501,"ساري")+COUNTIFS(العقود!$D$2:$D$501,A32,العقود!$R$2:$R$501,"قريب الانتهاء"))</f>
        <v/>
      </c>
    </row>
    <row r="33" spans="1:6">
      <c r="A33" s="7"/>
      <c r="B33" s="7"/>
      <c r="C33" s="7"/>
      <c r="D33" s="7"/>
      <c r="E33" s="7" t="str">
        <f>IF(A33="","",COUNTIF(العقود!$D$2:$D$501,A33))</f>
        <v/>
      </c>
      <c r="F33" s="7" t="str">
        <f>IF(A33="","",COUNTIFS(العقود!$D$2:$D$501,A33,العقود!$R$2:$R$501,"ساري")+COUNTIFS(العقود!$D$2:$D$501,A33,العقود!$R$2:$R$501,"قريب الانتهاء"))</f>
        <v/>
      </c>
    </row>
    <row r="34" spans="1:6">
      <c r="A34" s="7"/>
      <c r="B34" s="7"/>
      <c r="C34" s="7"/>
      <c r="D34" s="7"/>
      <c r="E34" s="7" t="str">
        <f>IF(A34="","",COUNTIF(العقود!$D$2:$D$501,A34))</f>
        <v/>
      </c>
      <c r="F34" s="7" t="str">
        <f>IF(A34="","",COUNTIFS(العقود!$D$2:$D$501,A34,العقود!$R$2:$R$501,"ساري")+COUNTIFS(العقود!$D$2:$D$501,A34,العقود!$R$2:$R$501,"قريب الانتهاء"))</f>
        <v/>
      </c>
    </row>
    <row r="35" spans="1:6">
      <c r="A35" s="7"/>
      <c r="B35" s="7"/>
      <c r="C35" s="7"/>
      <c r="D35" s="7"/>
      <c r="E35" s="7" t="str">
        <f>IF(A35="","",COUNTIF(العقود!$D$2:$D$501,A35))</f>
        <v/>
      </c>
      <c r="F35" s="7" t="str">
        <f>IF(A35="","",COUNTIFS(العقود!$D$2:$D$501,A35,العقود!$R$2:$R$501,"ساري")+COUNTIFS(العقود!$D$2:$D$501,A35,العقود!$R$2:$R$501,"قريب الانتهاء"))</f>
        <v/>
      </c>
    </row>
    <row r="36" spans="1:6">
      <c r="A36" s="7"/>
      <c r="B36" s="7"/>
      <c r="C36" s="7"/>
      <c r="D36" s="7"/>
      <c r="E36" s="7" t="str">
        <f>IF(A36="","",COUNTIF(العقود!$D$2:$D$501,A36))</f>
        <v/>
      </c>
      <c r="F36" s="7" t="str">
        <f>IF(A36="","",COUNTIFS(العقود!$D$2:$D$501,A36,العقود!$R$2:$R$501,"ساري")+COUNTIFS(العقود!$D$2:$D$501,A36,العقود!$R$2:$R$501,"قريب الانتهاء"))</f>
        <v/>
      </c>
    </row>
    <row r="37" spans="1:6">
      <c r="A37" s="7"/>
      <c r="B37" s="7"/>
      <c r="C37" s="7"/>
      <c r="D37" s="7"/>
      <c r="E37" s="7" t="str">
        <f>IF(A37="","",COUNTIF(العقود!$D$2:$D$501,A37))</f>
        <v/>
      </c>
      <c r="F37" s="7" t="str">
        <f>IF(A37="","",COUNTIFS(العقود!$D$2:$D$501,A37,العقود!$R$2:$R$501,"ساري")+COUNTIFS(العقود!$D$2:$D$501,A37,العقود!$R$2:$R$501,"قريب الانتهاء"))</f>
        <v/>
      </c>
    </row>
    <row r="38" spans="1:6">
      <c r="A38" s="7"/>
      <c r="B38" s="7"/>
      <c r="C38" s="7"/>
      <c r="D38" s="7"/>
      <c r="E38" s="7" t="str">
        <f>IF(A38="","",COUNTIF(العقود!$D$2:$D$501,A38))</f>
        <v/>
      </c>
      <c r="F38" s="7" t="str">
        <f>IF(A38="","",COUNTIFS(العقود!$D$2:$D$501,A38,العقود!$R$2:$R$501,"ساري")+COUNTIFS(العقود!$D$2:$D$501,A38,العقود!$R$2:$R$501,"قريب الانتهاء"))</f>
        <v/>
      </c>
    </row>
    <row r="39" spans="1:6">
      <c r="A39" s="7"/>
      <c r="B39" s="7"/>
      <c r="C39" s="7"/>
      <c r="D39" s="7"/>
      <c r="E39" s="7" t="str">
        <f>IF(A39="","",COUNTIF(العقود!$D$2:$D$501,A39))</f>
        <v/>
      </c>
      <c r="F39" s="7" t="str">
        <f>IF(A39="","",COUNTIFS(العقود!$D$2:$D$501,A39,العقود!$R$2:$R$501,"ساري")+COUNTIFS(العقود!$D$2:$D$501,A39,العقود!$R$2:$R$501,"قريب الانتهاء"))</f>
        <v/>
      </c>
    </row>
    <row r="40" spans="1:6">
      <c r="A40" s="7"/>
      <c r="B40" s="7"/>
      <c r="C40" s="7"/>
      <c r="D40" s="7"/>
      <c r="E40" s="7" t="str">
        <f>IF(A40="","",COUNTIF(العقود!$D$2:$D$501,A40))</f>
        <v/>
      </c>
      <c r="F40" s="7" t="str">
        <f>IF(A40="","",COUNTIFS(العقود!$D$2:$D$501,A40,العقود!$R$2:$R$501,"ساري")+COUNTIFS(العقود!$D$2:$D$501,A40,العقود!$R$2:$R$501,"قريب الانتهاء"))</f>
        <v/>
      </c>
    </row>
    <row r="41" spans="1:6">
      <c r="A41" s="7"/>
      <c r="B41" s="7"/>
      <c r="C41" s="7"/>
      <c r="D41" s="7"/>
      <c r="E41" s="7" t="str">
        <f>IF(A41="","",COUNTIF(العقود!$D$2:$D$501,A41))</f>
        <v/>
      </c>
      <c r="F41" s="7" t="str">
        <f>IF(A41="","",COUNTIFS(العقود!$D$2:$D$501,A41,العقود!$R$2:$R$501,"ساري")+COUNTIFS(العقود!$D$2:$D$501,A41,العقود!$R$2:$R$501,"قريب الانتهاء"))</f>
        <v/>
      </c>
    </row>
    <row r="42" spans="1:6">
      <c r="A42" s="7"/>
      <c r="B42" s="7"/>
      <c r="C42" s="7"/>
      <c r="D42" s="7"/>
      <c r="E42" s="7" t="str">
        <f>IF(A42="","",COUNTIF(العقود!$D$2:$D$501,A42))</f>
        <v/>
      </c>
      <c r="F42" s="7" t="str">
        <f>IF(A42="","",COUNTIFS(العقود!$D$2:$D$501,A42,العقود!$R$2:$R$501,"ساري")+COUNTIFS(العقود!$D$2:$D$501,A42,العقود!$R$2:$R$501,"قريب الانتهاء"))</f>
        <v/>
      </c>
    </row>
    <row r="43" spans="1:6">
      <c r="A43" s="7"/>
      <c r="B43" s="7"/>
      <c r="C43" s="7"/>
      <c r="D43" s="7"/>
      <c r="E43" s="7" t="str">
        <f>IF(A43="","",COUNTIF(العقود!$D$2:$D$501,A43))</f>
        <v/>
      </c>
      <c r="F43" s="7" t="str">
        <f>IF(A43="","",COUNTIFS(العقود!$D$2:$D$501,A43,العقود!$R$2:$R$501,"ساري")+COUNTIFS(العقود!$D$2:$D$501,A43,العقود!$R$2:$R$501,"قريب الانتهاء"))</f>
        <v/>
      </c>
    </row>
    <row r="44" spans="1:6">
      <c r="A44" s="7"/>
      <c r="B44" s="7"/>
      <c r="C44" s="7"/>
      <c r="D44" s="7"/>
      <c r="E44" s="7" t="str">
        <f>IF(A44="","",COUNTIF(العقود!$D$2:$D$501,A44))</f>
        <v/>
      </c>
      <c r="F44" s="7" t="str">
        <f>IF(A44="","",COUNTIFS(العقود!$D$2:$D$501,A44,العقود!$R$2:$R$501,"ساري")+COUNTIFS(العقود!$D$2:$D$501,A44,العقود!$R$2:$R$501,"قريب الانتهاء"))</f>
        <v/>
      </c>
    </row>
    <row r="45" spans="1:6">
      <c r="A45" s="7"/>
      <c r="B45" s="7"/>
      <c r="C45" s="7"/>
      <c r="D45" s="7"/>
      <c r="E45" s="7" t="str">
        <f>IF(A45="","",COUNTIF(العقود!$D$2:$D$501,A45))</f>
        <v/>
      </c>
      <c r="F45" s="7" t="str">
        <f>IF(A45="","",COUNTIFS(العقود!$D$2:$D$501,A45,العقود!$R$2:$R$501,"ساري")+COUNTIFS(العقود!$D$2:$D$501,A45,العقود!$R$2:$R$501,"قريب الانتهاء"))</f>
        <v/>
      </c>
    </row>
    <row r="46" spans="1:6">
      <c r="A46" s="7"/>
      <c r="B46" s="7"/>
      <c r="C46" s="7"/>
      <c r="D46" s="7"/>
      <c r="E46" s="7" t="str">
        <f>IF(A46="","",COUNTIF(العقود!$D$2:$D$501,A46))</f>
        <v/>
      </c>
      <c r="F46" s="7" t="str">
        <f>IF(A46="","",COUNTIFS(العقود!$D$2:$D$501,A46,العقود!$R$2:$R$501,"ساري")+COUNTIFS(العقود!$D$2:$D$501,A46,العقود!$R$2:$R$501,"قريب الانتهاء"))</f>
        <v/>
      </c>
    </row>
    <row r="47" spans="1:6">
      <c r="A47" s="7"/>
      <c r="B47" s="7"/>
      <c r="C47" s="7"/>
      <c r="D47" s="7"/>
      <c r="E47" s="7" t="str">
        <f>IF(A47="","",COUNTIF(العقود!$D$2:$D$501,A47))</f>
        <v/>
      </c>
      <c r="F47" s="7" t="str">
        <f>IF(A47="","",COUNTIFS(العقود!$D$2:$D$501,A47,العقود!$R$2:$R$501,"ساري")+COUNTIFS(العقود!$D$2:$D$501,A47,العقود!$R$2:$R$501,"قريب الانتهاء"))</f>
        <v/>
      </c>
    </row>
    <row r="48" spans="1:6">
      <c r="A48" s="7"/>
      <c r="B48" s="7"/>
      <c r="C48" s="7"/>
      <c r="D48" s="7"/>
      <c r="E48" s="7" t="str">
        <f>IF(A48="","",COUNTIF(العقود!$D$2:$D$501,A48))</f>
        <v/>
      </c>
      <c r="F48" s="7" t="str">
        <f>IF(A48="","",COUNTIFS(العقود!$D$2:$D$501,A48,العقود!$R$2:$R$501,"ساري")+COUNTIFS(العقود!$D$2:$D$501,A48,العقود!$R$2:$R$501,"قريب الانتهاء"))</f>
        <v/>
      </c>
    </row>
    <row r="49" spans="1:6">
      <c r="A49" s="7"/>
      <c r="B49" s="7"/>
      <c r="C49" s="7"/>
      <c r="D49" s="7"/>
      <c r="E49" s="7" t="str">
        <f>IF(A49="","",COUNTIF(العقود!$D$2:$D$501,A49))</f>
        <v/>
      </c>
      <c r="F49" s="7" t="str">
        <f>IF(A49="","",COUNTIFS(العقود!$D$2:$D$501,A49,العقود!$R$2:$R$501,"ساري")+COUNTIFS(العقود!$D$2:$D$501,A49,العقود!$R$2:$R$501,"قريب الانتهاء"))</f>
        <v/>
      </c>
    </row>
    <row r="50" spans="1:6">
      <c r="A50" s="7"/>
      <c r="B50" s="7"/>
      <c r="C50" s="7"/>
      <c r="D50" s="7"/>
      <c r="E50" s="7" t="str">
        <f>IF(A50="","",COUNTIF(العقود!$D$2:$D$501,A50))</f>
        <v/>
      </c>
      <c r="F50" s="7" t="str">
        <f>IF(A50="","",COUNTIFS(العقود!$D$2:$D$501,A50,العقود!$R$2:$R$501,"ساري")+COUNTIFS(العقود!$D$2:$D$501,A50,العقود!$R$2:$R$501,"قريب الانتهاء"))</f>
        <v/>
      </c>
    </row>
    <row r="51" spans="1:6">
      <c r="A51" s="7"/>
      <c r="B51" s="7"/>
      <c r="C51" s="7"/>
      <c r="D51" s="7"/>
      <c r="E51" s="7" t="str">
        <f>IF(A51="","",COUNTIF(العقود!$D$2:$D$501,A51))</f>
        <v/>
      </c>
      <c r="F51" s="7" t="str">
        <f>IF(A51="","",COUNTIFS(العقود!$D$2:$D$501,A51,العقود!$R$2:$R$501,"ساري")+COUNTIFS(العقود!$D$2:$D$501,A51,العقود!$R$2:$R$501,"قريب الانتهاء"))</f>
        <v/>
      </c>
    </row>
    <row r="52" spans="1:6">
      <c r="A52" s="7"/>
      <c r="B52" s="7"/>
      <c r="C52" s="7"/>
      <c r="D52" s="7"/>
      <c r="E52" s="7" t="str">
        <f>IF(A52="","",COUNTIF(العقود!$D$2:$D$501,A52))</f>
        <v/>
      </c>
      <c r="F52" s="7" t="str">
        <f>IF(A52="","",COUNTIFS(العقود!$D$2:$D$501,A52,العقود!$R$2:$R$501,"ساري")+COUNTIFS(العقود!$D$2:$D$501,A52,العقود!$R$2:$R$501,"قريب الانتهاء"))</f>
        <v/>
      </c>
    </row>
    <row r="53" spans="1:6">
      <c r="A53" s="7"/>
      <c r="B53" s="7"/>
      <c r="C53" s="7"/>
      <c r="D53" s="7"/>
      <c r="E53" s="7" t="str">
        <f>IF(A53="","",COUNTIF(العقود!$D$2:$D$501,A53))</f>
        <v/>
      </c>
      <c r="F53" s="7" t="str">
        <f>IF(A53="","",COUNTIFS(العقود!$D$2:$D$501,A53,العقود!$R$2:$R$501,"ساري")+COUNTIFS(العقود!$D$2:$D$501,A53,العقود!$R$2:$R$501,"قريب الانتهاء"))</f>
        <v/>
      </c>
    </row>
    <row r="54" spans="1:6">
      <c r="A54" s="7"/>
      <c r="B54" s="7"/>
      <c r="C54" s="7"/>
      <c r="D54" s="7"/>
      <c r="E54" s="7" t="str">
        <f>IF(A54="","",COUNTIF(العقود!$D$2:$D$501,A54))</f>
        <v/>
      </c>
      <c r="F54" s="7" t="str">
        <f>IF(A54="","",COUNTIFS(العقود!$D$2:$D$501,A54,العقود!$R$2:$R$501,"ساري")+COUNTIFS(العقود!$D$2:$D$501,A54,العقود!$R$2:$R$501,"قريب الانتهاء"))</f>
        <v/>
      </c>
    </row>
    <row r="55" spans="1:6">
      <c r="A55" s="7"/>
      <c r="B55" s="7"/>
      <c r="C55" s="7"/>
      <c r="D55" s="7"/>
      <c r="E55" s="7" t="str">
        <f>IF(A55="","",COUNTIF(العقود!$D$2:$D$501,A55))</f>
        <v/>
      </c>
      <c r="F55" s="7" t="str">
        <f>IF(A55="","",COUNTIFS(العقود!$D$2:$D$501,A55,العقود!$R$2:$R$501,"ساري")+COUNTIFS(العقود!$D$2:$D$501,A55,العقود!$R$2:$R$501,"قريب الانتهاء"))</f>
        <v/>
      </c>
    </row>
    <row r="56" spans="1:6">
      <c r="A56" s="7"/>
      <c r="B56" s="7"/>
      <c r="C56" s="7"/>
      <c r="D56" s="7"/>
      <c r="E56" s="7" t="str">
        <f>IF(A56="","",COUNTIF(العقود!$D$2:$D$501,A56))</f>
        <v/>
      </c>
      <c r="F56" s="7" t="str">
        <f>IF(A56="","",COUNTIFS(العقود!$D$2:$D$501,A56,العقود!$R$2:$R$501,"ساري")+COUNTIFS(العقود!$D$2:$D$501,A56,العقود!$R$2:$R$501,"قريب الانتهاء"))</f>
        <v/>
      </c>
    </row>
    <row r="57" spans="1:6">
      <c r="A57" s="7"/>
      <c r="B57" s="7"/>
      <c r="C57" s="7"/>
      <c r="D57" s="7"/>
      <c r="E57" s="7" t="str">
        <f>IF(A57="","",COUNTIF(العقود!$D$2:$D$501,A57))</f>
        <v/>
      </c>
      <c r="F57" s="7" t="str">
        <f>IF(A57="","",COUNTIFS(العقود!$D$2:$D$501,A57,العقود!$R$2:$R$501,"ساري")+COUNTIFS(العقود!$D$2:$D$501,A57,العقود!$R$2:$R$501,"قريب الانتهاء"))</f>
        <v/>
      </c>
    </row>
    <row r="58" spans="1:6">
      <c r="A58" s="7"/>
      <c r="B58" s="7"/>
      <c r="C58" s="7"/>
      <c r="D58" s="7"/>
      <c r="E58" s="7" t="str">
        <f>IF(A58="","",COUNTIF(العقود!$D$2:$D$501,A58))</f>
        <v/>
      </c>
      <c r="F58" s="7" t="str">
        <f>IF(A58="","",COUNTIFS(العقود!$D$2:$D$501,A58,العقود!$R$2:$R$501,"ساري")+COUNTIFS(العقود!$D$2:$D$501,A58,العقود!$R$2:$R$501,"قريب الانتهاء"))</f>
        <v/>
      </c>
    </row>
    <row r="59" spans="1:6">
      <c r="A59" s="7"/>
      <c r="B59" s="7"/>
      <c r="C59" s="7"/>
      <c r="D59" s="7"/>
      <c r="E59" s="7" t="str">
        <f>IF(A59="","",COUNTIF(العقود!$D$2:$D$501,A59))</f>
        <v/>
      </c>
      <c r="F59" s="7" t="str">
        <f>IF(A59="","",COUNTIFS(العقود!$D$2:$D$501,A59,العقود!$R$2:$R$501,"ساري")+COUNTIFS(العقود!$D$2:$D$501,A59,العقود!$R$2:$R$501,"قريب الانتهاء"))</f>
        <v/>
      </c>
    </row>
    <row r="60" spans="1:6">
      <c r="A60" s="7"/>
      <c r="B60" s="7"/>
      <c r="C60" s="7"/>
      <c r="D60" s="7"/>
      <c r="E60" s="7" t="str">
        <f>IF(A60="","",COUNTIF(العقود!$D$2:$D$501,A60))</f>
        <v/>
      </c>
      <c r="F60" s="7" t="str">
        <f>IF(A60="","",COUNTIFS(العقود!$D$2:$D$501,A60,العقود!$R$2:$R$501,"ساري")+COUNTIFS(العقود!$D$2:$D$501,A60,العقود!$R$2:$R$501,"قريب الانتهاء"))</f>
        <v/>
      </c>
    </row>
    <row r="61" spans="1:6">
      <c r="A61" s="7"/>
      <c r="B61" s="7"/>
      <c r="C61" s="7"/>
      <c r="D61" s="7"/>
      <c r="E61" s="7" t="str">
        <f>IF(A61="","",COUNTIF(العقود!$D$2:$D$501,A61))</f>
        <v/>
      </c>
      <c r="F61" s="7" t="str">
        <f>IF(A61="","",COUNTIFS(العقود!$D$2:$D$501,A61,العقود!$R$2:$R$501,"ساري")+COUNTIFS(العقود!$D$2:$D$501,A61,العقود!$R$2:$R$501,"قريب الانتهاء"))</f>
        <v/>
      </c>
    </row>
    <row r="62" spans="1:6">
      <c r="A62" s="7"/>
      <c r="B62" s="7"/>
      <c r="C62" s="7"/>
      <c r="D62" s="7"/>
      <c r="E62" s="7" t="str">
        <f>IF(A62="","",COUNTIF(العقود!$D$2:$D$501,A62))</f>
        <v/>
      </c>
      <c r="F62" s="7" t="str">
        <f>IF(A62="","",COUNTIFS(العقود!$D$2:$D$501,A62,العقود!$R$2:$R$501,"ساري")+COUNTIFS(العقود!$D$2:$D$501,A62,العقود!$R$2:$R$501,"قريب الانتهاء"))</f>
        <v/>
      </c>
    </row>
    <row r="63" spans="1:6">
      <c r="A63" s="7"/>
      <c r="B63" s="7"/>
      <c r="C63" s="7"/>
      <c r="D63" s="7"/>
      <c r="E63" s="7" t="str">
        <f>IF(A63="","",COUNTIF(العقود!$D$2:$D$501,A63))</f>
        <v/>
      </c>
      <c r="F63" s="7" t="str">
        <f>IF(A63="","",COUNTIFS(العقود!$D$2:$D$501,A63,العقود!$R$2:$R$501,"ساري")+COUNTIFS(العقود!$D$2:$D$501,A63,العقود!$R$2:$R$501,"قريب الانتهاء"))</f>
        <v/>
      </c>
    </row>
    <row r="64" spans="1:6">
      <c r="A64" s="7"/>
      <c r="B64" s="7"/>
      <c r="C64" s="7"/>
      <c r="D64" s="7"/>
      <c r="E64" s="7" t="str">
        <f>IF(A64="","",COUNTIF(العقود!$D$2:$D$501,A64))</f>
        <v/>
      </c>
      <c r="F64" s="7" t="str">
        <f>IF(A64="","",COUNTIFS(العقود!$D$2:$D$501,A64,العقود!$R$2:$R$501,"ساري")+COUNTIFS(العقود!$D$2:$D$501,A64,العقود!$R$2:$R$501,"قريب الانتهاء"))</f>
        <v/>
      </c>
    </row>
    <row r="65" spans="1:6">
      <c r="A65" s="7"/>
      <c r="B65" s="7"/>
      <c r="C65" s="7"/>
      <c r="D65" s="7"/>
      <c r="E65" s="7" t="str">
        <f>IF(A65="","",COUNTIF(العقود!$D$2:$D$501,A65))</f>
        <v/>
      </c>
      <c r="F65" s="7" t="str">
        <f>IF(A65="","",COUNTIFS(العقود!$D$2:$D$501,A65,العقود!$R$2:$R$501,"ساري")+COUNTIFS(العقود!$D$2:$D$501,A65,العقود!$R$2:$R$501,"قريب الانتهاء"))</f>
        <v/>
      </c>
    </row>
    <row r="66" spans="1:6">
      <c r="A66" s="7"/>
      <c r="B66" s="7"/>
      <c r="C66" s="7"/>
      <c r="D66" s="7"/>
      <c r="E66" s="7" t="str">
        <f>IF(A66="","",COUNTIF(العقود!$D$2:$D$501,A66))</f>
        <v/>
      </c>
      <c r="F66" s="7" t="str">
        <f>IF(A66="","",COUNTIFS(العقود!$D$2:$D$501,A66,العقود!$R$2:$R$501,"ساري")+COUNTIFS(العقود!$D$2:$D$501,A66,العقود!$R$2:$R$501,"قريب الانتهاء"))</f>
        <v/>
      </c>
    </row>
    <row r="67" spans="1:6">
      <c r="A67" s="7"/>
      <c r="B67" s="7"/>
      <c r="C67" s="7"/>
      <c r="D67" s="7"/>
      <c r="E67" s="7" t="str">
        <f>IF(A67="","",COUNTIF(العقود!$D$2:$D$501,A67))</f>
        <v/>
      </c>
      <c r="F67" s="7" t="str">
        <f>IF(A67="","",COUNTIFS(العقود!$D$2:$D$501,A67,العقود!$R$2:$R$501,"ساري")+COUNTIFS(العقود!$D$2:$D$501,A67,العقود!$R$2:$R$501,"قريب الانتهاء"))</f>
        <v/>
      </c>
    </row>
    <row r="68" spans="1:6">
      <c r="A68" s="7"/>
      <c r="B68" s="7"/>
      <c r="C68" s="7"/>
      <c r="D68" s="7"/>
      <c r="E68" s="7" t="str">
        <f>IF(A68="","",COUNTIF(العقود!$D$2:$D$501,A68))</f>
        <v/>
      </c>
      <c r="F68" s="7" t="str">
        <f>IF(A68="","",COUNTIFS(العقود!$D$2:$D$501,A68,العقود!$R$2:$R$501,"ساري")+COUNTIFS(العقود!$D$2:$D$501,A68,العقود!$R$2:$R$501,"قريب الانتهاء"))</f>
        <v/>
      </c>
    </row>
    <row r="69" spans="1:6">
      <c r="A69" s="7"/>
      <c r="B69" s="7"/>
      <c r="C69" s="7"/>
      <c r="D69" s="7"/>
      <c r="E69" s="7" t="str">
        <f>IF(A69="","",COUNTIF(العقود!$D$2:$D$501,A69))</f>
        <v/>
      </c>
      <c r="F69" s="7" t="str">
        <f>IF(A69="","",COUNTIFS(العقود!$D$2:$D$501,A69,العقود!$R$2:$R$501,"ساري")+COUNTIFS(العقود!$D$2:$D$501,A69,العقود!$R$2:$R$501,"قريب الانتهاء"))</f>
        <v/>
      </c>
    </row>
    <row r="70" spans="1:6">
      <c r="A70" s="7"/>
      <c r="B70" s="7"/>
      <c r="C70" s="7"/>
      <c r="D70" s="7"/>
      <c r="E70" s="7" t="str">
        <f>IF(A70="","",COUNTIF(العقود!$D$2:$D$501,A70))</f>
        <v/>
      </c>
      <c r="F70" s="7" t="str">
        <f>IF(A70="","",COUNTIFS(العقود!$D$2:$D$501,A70,العقود!$R$2:$R$501,"ساري")+COUNTIFS(العقود!$D$2:$D$501,A70,العقود!$R$2:$R$501,"قريب الانتهاء"))</f>
        <v/>
      </c>
    </row>
    <row r="71" spans="1:6">
      <c r="A71" s="7"/>
      <c r="B71" s="7"/>
      <c r="C71" s="7"/>
      <c r="D71" s="7"/>
      <c r="E71" s="7" t="str">
        <f>IF(A71="","",COUNTIF(العقود!$D$2:$D$501,A71))</f>
        <v/>
      </c>
      <c r="F71" s="7" t="str">
        <f>IF(A71="","",COUNTIFS(العقود!$D$2:$D$501,A71,العقود!$R$2:$R$501,"ساري")+COUNTIFS(العقود!$D$2:$D$501,A71,العقود!$R$2:$R$501,"قريب الانتهاء"))</f>
        <v/>
      </c>
    </row>
    <row r="72" spans="1:6">
      <c r="A72" s="7"/>
      <c r="B72" s="7"/>
      <c r="C72" s="7"/>
      <c r="D72" s="7"/>
      <c r="E72" s="7" t="str">
        <f>IF(A72="","",COUNTIF(العقود!$D$2:$D$501,A72))</f>
        <v/>
      </c>
      <c r="F72" s="7" t="str">
        <f>IF(A72="","",COUNTIFS(العقود!$D$2:$D$501,A72,العقود!$R$2:$R$501,"ساري")+COUNTIFS(العقود!$D$2:$D$501,A72,العقود!$R$2:$R$501,"قريب الانتهاء"))</f>
        <v/>
      </c>
    </row>
    <row r="73" spans="1:6">
      <c r="A73" s="7"/>
      <c r="B73" s="7"/>
      <c r="C73" s="7"/>
      <c r="D73" s="7"/>
      <c r="E73" s="7" t="str">
        <f>IF(A73="","",COUNTIF(العقود!$D$2:$D$501,A73))</f>
        <v/>
      </c>
      <c r="F73" s="7" t="str">
        <f>IF(A73="","",COUNTIFS(العقود!$D$2:$D$501,A73,العقود!$R$2:$R$501,"ساري")+COUNTIFS(العقود!$D$2:$D$501,A73,العقود!$R$2:$R$501,"قريب الانتهاء"))</f>
        <v/>
      </c>
    </row>
    <row r="74" spans="1:6">
      <c r="A74" s="7"/>
      <c r="B74" s="7"/>
      <c r="C74" s="7"/>
      <c r="D74" s="7"/>
      <c r="E74" s="7" t="str">
        <f>IF(A74="","",COUNTIF(العقود!$D$2:$D$501,A74))</f>
        <v/>
      </c>
      <c r="F74" s="7" t="str">
        <f>IF(A74="","",COUNTIFS(العقود!$D$2:$D$501,A74,العقود!$R$2:$R$501,"ساري")+COUNTIFS(العقود!$D$2:$D$501,A74,العقود!$R$2:$R$501,"قريب الانتهاء"))</f>
        <v/>
      </c>
    </row>
    <row r="75" spans="1:6">
      <c r="A75" s="7"/>
      <c r="B75" s="7"/>
      <c r="C75" s="7"/>
      <c r="D75" s="7"/>
      <c r="E75" s="7" t="str">
        <f>IF(A75="","",COUNTIF(العقود!$D$2:$D$501,A75))</f>
        <v/>
      </c>
      <c r="F75" s="7" t="str">
        <f>IF(A75="","",COUNTIFS(العقود!$D$2:$D$501,A75,العقود!$R$2:$R$501,"ساري")+COUNTIFS(العقود!$D$2:$D$501,A75,العقود!$R$2:$R$501,"قريب الانتهاء"))</f>
        <v/>
      </c>
    </row>
    <row r="76" spans="1:6">
      <c r="A76" s="7"/>
      <c r="B76" s="7"/>
      <c r="C76" s="7"/>
      <c r="D76" s="7"/>
      <c r="E76" s="7" t="str">
        <f>IF(A76="","",COUNTIF(العقود!$D$2:$D$501,A76))</f>
        <v/>
      </c>
      <c r="F76" s="7" t="str">
        <f>IF(A76="","",COUNTIFS(العقود!$D$2:$D$501,A76,العقود!$R$2:$R$501,"ساري")+COUNTIFS(العقود!$D$2:$D$501,A76,العقود!$R$2:$R$501,"قريب الانتهاء"))</f>
        <v/>
      </c>
    </row>
    <row r="77" spans="1:6">
      <c r="A77" s="7"/>
      <c r="B77" s="7"/>
      <c r="C77" s="7"/>
      <c r="D77" s="7"/>
      <c r="E77" s="7" t="str">
        <f>IF(A77="","",COUNTIF(العقود!$D$2:$D$501,A77))</f>
        <v/>
      </c>
      <c r="F77" s="7" t="str">
        <f>IF(A77="","",COUNTIFS(العقود!$D$2:$D$501,A77,العقود!$R$2:$R$501,"ساري")+COUNTIFS(العقود!$D$2:$D$501,A77,العقود!$R$2:$R$501,"قريب الانتهاء"))</f>
        <v/>
      </c>
    </row>
    <row r="78" spans="1:6">
      <c r="A78" s="7"/>
      <c r="B78" s="7"/>
      <c r="C78" s="7"/>
      <c r="D78" s="7"/>
      <c r="E78" s="7" t="str">
        <f>IF(A78="","",COUNTIF(العقود!$D$2:$D$501,A78))</f>
        <v/>
      </c>
      <c r="F78" s="7" t="str">
        <f>IF(A78="","",COUNTIFS(العقود!$D$2:$D$501,A78,العقود!$R$2:$R$501,"ساري")+COUNTIFS(العقود!$D$2:$D$501,A78,العقود!$R$2:$R$501,"قريب الانتهاء"))</f>
        <v/>
      </c>
    </row>
    <row r="79" spans="1:6">
      <c r="A79" s="7"/>
      <c r="B79" s="7"/>
      <c r="C79" s="7"/>
      <c r="D79" s="7"/>
      <c r="E79" s="7" t="str">
        <f>IF(A79="","",COUNTIF(العقود!$D$2:$D$501,A79))</f>
        <v/>
      </c>
      <c r="F79" s="7" t="str">
        <f>IF(A79="","",COUNTIFS(العقود!$D$2:$D$501,A79,العقود!$R$2:$R$501,"ساري")+COUNTIFS(العقود!$D$2:$D$501,A79,العقود!$R$2:$R$501,"قريب الانتهاء"))</f>
        <v/>
      </c>
    </row>
    <row r="80" spans="1:6">
      <c r="A80" s="7"/>
      <c r="B80" s="7"/>
      <c r="C80" s="7"/>
      <c r="D80" s="7"/>
      <c r="E80" s="7" t="str">
        <f>IF(A80="","",COUNTIF(العقود!$D$2:$D$501,A80))</f>
        <v/>
      </c>
      <c r="F80" s="7" t="str">
        <f>IF(A80="","",COUNTIFS(العقود!$D$2:$D$501,A80,العقود!$R$2:$R$501,"ساري")+COUNTIFS(العقود!$D$2:$D$501,A80,العقود!$R$2:$R$501,"قريب الانتهاء"))</f>
        <v/>
      </c>
    </row>
    <row r="81" spans="1:6">
      <c r="A81" s="7"/>
      <c r="B81" s="7"/>
      <c r="C81" s="7"/>
      <c r="D81" s="7"/>
      <c r="E81" s="7" t="str">
        <f>IF(A81="","",COUNTIF(العقود!$D$2:$D$501,A81))</f>
        <v/>
      </c>
      <c r="F81" s="7" t="str">
        <f>IF(A81="","",COUNTIFS(العقود!$D$2:$D$501,A81,العقود!$R$2:$R$501,"ساري")+COUNTIFS(العقود!$D$2:$D$501,A81,العقود!$R$2:$R$501,"قريب الانتهاء"))</f>
        <v/>
      </c>
    </row>
    <row r="82" spans="1:6">
      <c r="A82" s="7"/>
      <c r="B82" s="7"/>
      <c r="C82" s="7"/>
      <c r="D82" s="7"/>
      <c r="E82" s="7" t="str">
        <f>IF(A82="","",COUNTIF(العقود!$D$2:$D$501,A82))</f>
        <v/>
      </c>
      <c r="F82" s="7" t="str">
        <f>IF(A82="","",COUNTIFS(العقود!$D$2:$D$501,A82,العقود!$R$2:$R$501,"ساري")+COUNTIFS(العقود!$D$2:$D$501,A82,العقود!$R$2:$R$501,"قريب الانتهاء"))</f>
        <v/>
      </c>
    </row>
    <row r="83" spans="1:6">
      <c r="A83" s="7"/>
      <c r="B83" s="7"/>
      <c r="C83" s="7"/>
      <c r="D83" s="7"/>
      <c r="E83" s="7" t="str">
        <f>IF(A83="","",COUNTIF(العقود!$D$2:$D$501,A83))</f>
        <v/>
      </c>
      <c r="F83" s="7" t="str">
        <f>IF(A83="","",COUNTIFS(العقود!$D$2:$D$501,A83,العقود!$R$2:$R$501,"ساري")+COUNTIFS(العقود!$D$2:$D$501,A83,العقود!$R$2:$R$501,"قريب الانتهاء"))</f>
        <v/>
      </c>
    </row>
    <row r="84" spans="1:6">
      <c r="A84" s="7"/>
      <c r="B84" s="7"/>
      <c r="C84" s="7"/>
      <c r="D84" s="7"/>
      <c r="E84" s="7" t="str">
        <f>IF(A84="","",COUNTIF(العقود!$D$2:$D$501,A84))</f>
        <v/>
      </c>
      <c r="F84" s="7" t="str">
        <f>IF(A84="","",COUNTIFS(العقود!$D$2:$D$501,A84,العقود!$R$2:$R$501,"ساري")+COUNTIFS(العقود!$D$2:$D$501,A84,العقود!$R$2:$R$501,"قريب الانتهاء"))</f>
        <v/>
      </c>
    </row>
    <row r="85" spans="1:6">
      <c r="A85" s="7"/>
      <c r="B85" s="7"/>
      <c r="C85" s="7"/>
      <c r="D85" s="7"/>
      <c r="E85" s="7" t="str">
        <f>IF(A85="","",COUNTIF(العقود!$D$2:$D$501,A85))</f>
        <v/>
      </c>
      <c r="F85" s="7" t="str">
        <f>IF(A85="","",COUNTIFS(العقود!$D$2:$D$501,A85,العقود!$R$2:$R$501,"ساري")+COUNTIFS(العقود!$D$2:$D$501,A85,العقود!$R$2:$R$501,"قريب الانتهاء"))</f>
        <v/>
      </c>
    </row>
    <row r="86" spans="1:6">
      <c r="A86" s="7"/>
      <c r="B86" s="7"/>
      <c r="C86" s="7"/>
      <c r="D86" s="7"/>
      <c r="E86" s="7" t="str">
        <f>IF(A86="","",COUNTIF(العقود!$D$2:$D$501,A86))</f>
        <v/>
      </c>
      <c r="F86" s="7" t="str">
        <f>IF(A86="","",COUNTIFS(العقود!$D$2:$D$501,A86,العقود!$R$2:$R$501,"ساري")+COUNTIFS(العقود!$D$2:$D$501,A86,العقود!$R$2:$R$501,"قريب الانتهاء"))</f>
        <v/>
      </c>
    </row>
    <row r="87" spans="1:6">
      <c r="A87" s="7"/>
      <c r="B87" s="7"/>
      <c r="C87" s="7"/>
      <c r="D87" s="7"/>
      <c r="E87" s="7" t="str">
        <f>IF(A87="","",COUNTIF(العقود!$D$2:$D$501,A87))</f>
        <v/>
      </c>
      <c r="F87" s="7" t="str">
        <f>IF(A87="","",COUNTIFS(العقود!$D$2:$D$501,A87,العقود!$R$2:$R$501,"ساري")+COUNTIFS(العقود!$D$2:$D$501,A87,العقود!$R$2:$R$501,"قريب الانتهاء"))</f>
        <v/>
      </c>
    </row>
    <row r="88" spans="1:6">
      <c r="A88" s="7"/>
      <c r="B88" s="7"/>
      <c r="C88" s="7"/>
      <c r="D88" s="7"/>
      <c r="E88" s="7" t="str">
        <f>IF(A88="","",COUNTIF(العقود!$D$2:$D$501,A88))</f>
        <v/>
      </c>
      <c r="F88" s="7" t="str">
        <f>IF(A88="","",COUNTIFS(العقود!$D$2:$D$501,A88,العقود!$R$2:$R$501,"ساري")+COUNTIFS(العقود!$D$2:$D$501,A88,العقود!$R$2:$R$501,"قريب الانتهاء"))</f>
        <v/>
      </c>
    </row>
    <row r="89" spans="1:6">
      <c r="A89" s="7"/>
      <c r="B89" s="7"/>
      <c r="C89" s="7"/>
      <c r="D89" s="7"/>
      <c r="E89" s="7" t="str">
        <f>IF(A89="","",COUNTIF(العقود!$D$2:$D$501,A89))</f>
        <v/>
      </c>
      <c r="F89" s="7" t="str">
        <f>IF(A89="","",COUNTIFS(العقود!$D$2:$D$501,A89,العقود!$R$2:$R$501,"ساري")+COUNTIFS(العقود!$D$2:$D$501,A89,العقود!$R$2:$R$501,"قريب الانتهاء"))</f>
        <v/>
      </c>
    </row>
    <row r="90" spans="1:6">
      <c r="A90" s="7"/>
      <c r="B90" s="7"/>
      <c r="C90" s="7"/>
      <c r="D90" s="7"/>
      <c r="E90" s="7" t="str">
        <f>IF(A90="","",COUNTIF(العقود!$D$2:$D$501,A90))</f>
        <v/>
      </c>
      <c r="F90" s="7" t="str">
        <f>IF(A90="","",COUNTIFS(العقود!$D$2:$D$501,A90,العقود!$R$2:$R$501,"ساري")+COUNTIFS(العقود!$D$2:$D$501,A90,العقود!$R$2:$R$501,"قريب الانتهاء"))</f>
        <v/>
      </c>
    </row>
    <row r="91" spans="1:6">
      <c r="A91" s="7"/>
      <c r="B91" s="7"/>
      <c r="C91" s="7"/>
      <c r="D91" s="7"/>
      <c r="E91" s="7" t="str">
        <f>IF(A91="","",COUNTIF(العقود!$D$2:$D$501,A91))</f>
        <v/>
      </c>
      <c r="F91" s="7" t="str">
        <f>IF(A91="","",COUNTIFS(العقود!$D$2:$D$501,A91,العقود!$R$2:$R$501,"ساري")+COUNTIFS(العقود!$D$2:$D$501,A91,العقود!$R$2:$R$501,"قريب الانتهاء"))</f>
        <v/>
      </c>
    </row>
    <row r="92" spans="1:6">
      <c r="A92" s="7"/>
      <c r="B92" s="7"/>
      <c r="C92" s="7"/>
      <c r="D92" s="7"/>
      <c r="E92" s="7" t="str">
        <f>IF(A92="","",COUNTIF(العقود!$D$2:$D$501,A92))</f>
        <v/>
      </c>
      <c r="F92" s="7" t="str">
        <f>IF(A92="","",COUNTIFS(العقود!$D$2:$D$501,A92,العقود!$R$2:$R$501,"ساري")+COUNTIFS(العقود!$D$2:$D$501,A92,العقود!$R$2:$R$501,"قريب الانتهاء"))</f>
        <v/>
      </c>
    </row>
    <row r="93" spans="1:6">
      <c r="A93" s="7"/>
      <c r="B93" s="7"/>
      <c r="C93" s="7"/>
      <c r="D93" s="7"/>
      <c r="E93" s="7" t="str">
        <f>IF(A93="","",COUNTIF(العقود!$D$2:$D$501,A93))</f>
        <v/>
      </c>
      <c r="F93" s="7" t="str">
        <f>IF(A93="","",COUNTIFS(العقود!$D$2:$D$501,A93,العقود!$R$2:$R$501,"ساري")+COUNTIFS(العقود!$D$2:$D$501,A93,العقود!$R$2:$R$501,"قريب الانتهاء"))</f>
        <v/>
      </c>
    </row>
    <row r="94" spans="1:6">
      <c r="A94" s="7"/>
      <c r="B94" s="7"/>
      <c r="C94" s="7"/>
      <c r="D94" s="7"/>
      <c r="E94" s="7" t="str">
        <f>IF(A94="","",COUNTIF(العقود!$D$2:$D$501,A94))</f>
        <v/>
      </c>
      <c r="F94" s="7" t="str">
        <f>IF(A94="","",COUNTIFS(العقود!$D$2:$D$501,A94,العقود!$R$2:$R$501,"ساري")+COUNTIFS(العقود!$D$2:$D$501,A94,العقود!$R$2:$R$501,"قريب الانتهاء"))</f>
        <v/>
      </c>
    </row>
    <row r="95" spans="1:6">
      <c r="A95" s="7"/>
      <c r="B95" s="7"/>
      <c r="C95" s="7"/>
      <c r="D95" s="7"/>
      <c r="E95" s="7" t="str">
        <f>IF(A95="","",COUNTIF(العقود!$D$2:$D$501,A95))</f>
        <v/>
      </c>
      <c r="F95" s="7" t="str">
        <f>IF(A95="","",COUNTIFS(العقود!$D$2:$D$501,A95,العقود!$R$2:$R$501,"ساري")+COUNTIFS(العقود!$D$2:$D$501,A95,العقود!$R$2:$R$501,"قريب الانتهاء"))</f>
        <v/>
      </c>
    </row>
    <row r="96" spans="1:6">
      <c r="A96" s="7"/>
      <c r="B96" s="7"/>
      <c r="C96" s="7"/>
      <c r="D96" s="7"/>
      <c r="E96" s="7" t="str">
        <f>IF(A96="","",COUNTIF(العقود!$D$2:$D$501,A96))</f>
        <v/>
      </c>
      <c r="F96" s="7" t="str">
        <f>IF(A96="","",COUNTIFS(العقود!$D$2:$D$501,A96,العقود!$R$2:$R$501,"ساري")+COUNTIFS(العقود!$D$2:$D$501,A96,العقود!$R$2:$R$501,"قريب الانتهاء"))</f>
        <v/>
      </c>
    </row>
    <row r="97" spans="1:6">
      <c r="A97" s="7"/>
      <c r="B97" s="7"/>
      <c r="C97" s="7"/>
      <c r="D97" s="7"/>
      <c r="E97" s="7" t="str">
        <f>IF(A97="","",COUNTIF(العقود!$D$2:$D$501,A97))</f>
        <v/>
      </c>
      <c r="F97" s="7" t="str">
        <f>IF(A97="","",COUNTIFS(العقود!$D$2:$D$501,A97,العقود!$R$2:$R$501,"ساري")+COUNTIFS(العقود!$D$2:$D$501,A97,العقود!$R$2:$R$501,"قريب الانتهاء"))</f>
        <v/>
      </c>
    </row>
    <row r="98" spans="1:6">
      <c r="A98" s="7"/>
      <c r="B98" s="7"/>
      <c r="C98" s="7"/>
      <c r="D98" s="7"/>
      <c r="E98" s="7" t="str">
        <f>IF(A98="","",COUNTIF(العقود!$D$2:$D$501,A98))</f>
        <v/>
      </c>
      <c r="F98" s="7" t="str">
        <f>IF(A98="","",COUNTIFS(العقود!$D$2:$D$501,A98,العقود!$R$2:$R$501,"ساري")+COUNTIFS(العقود!$D$2:$D$501,A98,العقود!$R$2:$R$501,"قريب الانتهاء"))</f>
        <v/>
      </c>
    </row>
    <row r="99" spans="1:6">
      <c r="A99" s="7"/>
      <c r="B99" s="7"/>
      <c r="C99" s="7"/>
      <c r="D99" s="7"/>
      <c r="E99" s="7" t="str">
        <f>IF(A99="","",COUNTIF(العقود!$D$2:$D$501,A99))</f>
        <v/>
      </c>
      <c r="F99" s="7" t="str">
        <f>IF(A99="","",COUNTIFS(العقود!$D$2:$D$501,A99,العقود!$R$2:$R$501,"ساري")+COUNTIFS(العقود!$D$2:$D$501,A99,العقود!$R$2:$R$501,"قريب الانتهاء"))</f>
        <v/>
      </c>
    </row>
    <row r="100" spans="1:6">
      <c r="A100" s="7"/>
      <c r="B100" s="7"/>
      <c r="C100" s="7"/>
      <c r="D100" s="7"/>
      <c r="E100" s="7" t="str">
        <f>IF(A100="","",COUNTIF(العقود!$D$2:$D$501,A100))</f>
        <v/>
      </c>
      <c r="F100" s="7" t="str">
        <f>IF(A100="","",COUNTIFS(العقود!$D$2:$D$501,A100,العقود!$R$2:$R$501,"ساري")+COUNTIFS(العقود!$D$2:$D$501,A100,العقود!$R$2:$R$501,"قريب الانتهاء"))</f>
        <v/>
      </c>
    </row>
    <row r="101" spans="1:6">
      <c r="A101" s="7"/>
      <c r="B101" s="7"/>
      <c r="C101" s="7"/>
      <c r="D101" s="7"/>
      <c r="E101" s="7" t="str">
        <f>IF(A101="","",COUNTIF(العقود!$D$2:$D$501,A101))</f>
        <v/>
      </c>
      <c r="F101" s="7" t="str">
        <f>IF(A101="","",COUNTIFS(العقود!$D$2:$D$501,A101,العقود!$R$2:$R$501,"ساري")+COUNTIFS(العقود!$D$2:$D$501,A101,العقود!$R$2:$R$501,"قريب الانتهاء"))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01"/>
  <sheetViews>
    <sheetView rightToLeft="1" zoomScaleNormal="100" workbookViewId="0">
      <pane ySplit="1" topLeftCell="A2" activePane="bottomLeft" state="frozen"/>
      <selection pane="bottomLeft"/>
    </sheetView>
  </sheetViews>
  <sheetFormatPr defaultColWidth="8.6640625" defaultRowHeight="14.4"/>
  <cols>
    <col min="1" max="1" width="16" customWidth="1"/>
    <col min="2" max="3" width="18" customWidth="1"/>
    <col min="4" max="4" width="36" customWidth="1"/>
    <col min="5" max="5" width="3" customWidth="1"/>
    <col min="6" max="6" width="14" customWidth="1"/>
  </cols>
  <sheetData>
    <row r="1" spans="1:6">
      <c r="A1" s="9" t="s">
        <v>17</v>
      </c>
      <c r="B1" s="9" t="s">
        <v>86</v>
      </c>
      <c r="C1" s="9" t="s">
        <v>87</v>
      </c>
      <c r="D1" s="9" t="s">
        <v>88</v>
      </c>
      <c r="E1" s="9"/>
      <c r="F1" s="9" t="s">
        <v>89</v>
      </c>
    </row>
    <row r="2" spans="1:6">
      <c r="A2" s="10" t="s">
        <v>50</v>
      </c>
      <c r="B2" s="11">
        <v>46176</v>
      </c>
      <c r="C2" s="11">
        <v>46386</v>
      </c>
      <c r="D2" s="10" t="s">
        <v>90</v>
      </c>
      <c r="F2" s="13" t="str">
        <f>IF(A2='بطاقة العقد'!$B$1,ROW(),"")</f>
        <v/>
      </c>
    </row>
    <row r="3" spans="1:6">
      <c r="A3" s="10" t="s">
        <v>63</v>
      </c>
      <c r="B3" s="11">
        <v>46321</v>
      </c>
      <c r="C3" s="11">
        <v>46546</v>
      </c>
      <c r="D3" s="10" t="s">
        <v>91</v>
      </c>
      <c r="F3" s="13" t="str">
        <f>IF(A3='بطاقة العقد'!$B$1,ROW(),"")</f>
        <v/>
      </c>
    </row>
    <row r="4" spans="1:6">
      <c r="A4" s="10"/>
      <c r="B4" s="11"/>
      <c r="C4" s="11"/>
      <c r="D4" s="10"/>
      <c r="F4" s="13" t="str">
        <f>IF(A4='بطاقة العقد'!$B$1,ROW(),"")</f>
        <v/>
      </c>
    </row>
    <row r="5" spans="1:6">
      <c r="A5" s="10"/>
      <c r="B5" s="11"/>
      <c r="C5" s="11"/>
      <c r="D5" s="10"/>
      <c r="F5" s="13" t="str">
        <f>IF(A5='بطاقة العقد'!$B$1,ROW(),"")</f>
        <v/>
      </c>
    </row>
    <row r="6" spans="1:6">
      <c r="A6" s="10"/>
      <c r="B6" s="11"/>
      <c r="C6" s="11"/>
      <c r="D6" s="10"/>
      <c r="F6" s="13" t="str">
        <f>IF(A6='بطاقة العقد'!$B$1,ROW(),"")</f>
        <v/>
      </c>
    </row>
    <row r="7" spans="1:6">
      <c r="A7" s="10"/>
      <c r="B7" s="11"/>
      <c r="C7" s="11"/>
      <c r="D7" s="10"/>
      <c r="F7" s="13" t="str">
        <f>IF(A7='بطاقة العقد'!$B$1,ROW(),"")</f>
        <v/>
      </c>
    </row>
    <row r="8" spans="1:6">
      <c r="A8" s="10"/>
      <c r="B8" s="11"/>
      <c r="C8" s="11"/>
      <c r="D8" s="10"/>
      <c r="F8" s="13" t="str">
        <f>IF(A8='بطاقة العقد'!$B$1,ROW(),"")</f>
        <v/>
      </c>
    </row>
    <row r="9" spans="1:6">
      <c r="A9" s="10"/>
      <c r="B9" s="11"/>
      <c r="C9" s="11"/>
      <c r="D9" s="10"/>
      <c r="F9" s="13" t="str">
        <f>IF(A9='بطاقة العقد'!$B$1,ROW(),"")</f>
        <v/>
      </c>
    </row>
    <row r="10" spans="1:6">
      <c r="A10" s="10"/>
      <c r="B10" s="11"/>
      <c r="C10" s="11"/>
      <c r="D10" s="10"/>
      <c r="F10" s="13" t="str">
        <f>IF(A10='بطاقة العقد'!$B$1,ROW(),"")</f>
        <v/>
      </c>
    </row>
    <row r="11" spans="1:6">
      <c r="A11" s="10"/>
      <c r="B11" s="11"/>
      <c r="C11" s="11"/>
      <c r="D11" s="10"/>
      <c r="F11" s="13" t="str">
        <f>IF(A11='بطاقة العقد'!$B$1,ROW(),"")</f>
        <v/>
      </c>
    </row>
    <row r="12" spans="1:6">
      <c r="A12" s="10"/>
      <c r="B12" s="11"/>
      <c r="C12" s="11"/>
      <c r="D12" s="10"/>
      <c r="F12" s="13" t="str">
        <f>IF(A12='بطاقة العقد'!$B$1,ROW(),"")</f>
        <v/>
      </c>
    </row>
    <row r="13" spans="1:6">
      <c r="A13" s="10"/>
      <c r="B13" s="11"/>
      <c r="C13" s="11"/>
      <c r="D13" s="10"/>
      <c r="F13" s="13" t="str">
        <f>IF(A13='بطاقة العقد'!$B$1,ROW(),"")</f>
        <v/>
      </c>
    </row>
    <row r="14" spans="1:6">
      <c r="A14" s="10"/>
      <c r="B14" s="11"/>
      <c r="C14" s="11"/>
      <c r="D14" s="10"/>
      <c r="F14" s="13" t="str">
        <f>IF(A14='بطاقة العقد'!$B$1,ROW(),"")</f>
        <v/>
      </c>
    </row>
    <row r="15" spans="1:6">
      <c r="A15" s="10"/>
      <c r="B15" s="11"/>
      <c r="C15" s="11"/>
      <c r="D15" s="10"/>
      <c r="F15" s="13" t="str">
        <f>IF(A15='بطاقة العقد'!$B$1,ROW(),"")</f>
        <v/>
      </c>
    </row>
    <row r="16" spans="1:6">
      <c r="A16" s="10"/>
      <c r="B16" s="11"/>
      <c r="C16" s="11"/>
      <c r="D16" s="10"/>
      <c r="F16" s="13" t="str">
        <f>IF(A16='بطاقة العقد'!$B$1,ROW(),"")</f>
        <v/>
      </c>
    </row>
    <row r="17" spans="1:6">
      <c r="A17" s="10"/>
      <c r="B17" s="11"/>
      <c r="C17" s="11"/>
      <c r="D17" s="10"/>
      <c r="F17" s="13" t="str">
        <f>IF(A17='بطاقة العقد'!$B$1,ROW(),"")</f>
        <v/>
      </c>
    </row>
    <row r="18" spans="1:6">
      <c r="A18" s="10"/>
      <c r="B18" s="11"/>
      <c r="C18" s="11"/>
      <c r="D18" s="10"/>
      <c r="F18" s="13" t="str">
        <f>IF(A18='بطاقة العقد'!$B$1,ROW(),"")</f>
        <v/>
      </c>
    </row>
    <row r="19" spans="1:6">
      <c r="A19" s="10"/>
      <c r="B19" s="11"/>
      <c r="C19" s="11"/>
      <c r="D19" s="10"/>
      <c r="F19" s="13" t="str">
        <f>IF(A19='بطاقة العقد'!$B$1,ROW(),"")</f>
        <v/>
      </c>
    </row>
    <row r="20" spans="1:6">
      <c r="A20" s="10"/>
      <c r="B20" s="11"/>
      <c r="C20" s="11"/>
      <c r="D20" s="10"/>
      <c r="F20" s="13" t="str">
        <f>IF(A20='بطاقة العقد'!$B$1,ROW(),"")</f>
        <v/>
      </c>
    </row>
    <row r="21" spans="1:6">
      <c r="A21" s="10"/>
      <c r="B21" s="11"/>
      <c r="C21" s="11"/>
      <c r="D21" s="10"/>
      <c r="F21" s="13" t="str">
        <f>IF(A21='بطاقة العقد'!$B$1,ROW(),"")</f>
        <v/>
      </c>
    </row>
    <row r="22" spans="1:6">
      <c r="A22" s="10"/>
      <c r="B22" s="11"/>
      <c r="C22" s="11"/>
      <c r="D22" s="10"/>
      <c r="F22" s="13" t="str">
        <f>IF(A22='بطاقة العقد'!$B$1,ROW(),"")</f>
        <v/>
      </c>
    </row>
    <row r="23" spans="1:6">
      <c r="A23" s="10"/>
      <c r="B23" s="11"/>
      <c r="C23" s="11"/>
      <c r="D23" s="10"/>
      <c r="F23" s="13" t="str">
        <f>IF(A23='بطاقة العقد'!$B$1,ROW(),"")</f>
        <v/>
      </c>
    </row>
    <row r="24" spans="1:6">
      <c r="A24" s="10"/>
      <c r="B24" s="11"/>
      <c r="C24" s="11"/>
      <c r="D24" s="10"/>
      <c r="F24" s="13" t="str">
        <f>IF(A24='بطاقة العقد'!$B$1,ROW(),"")</f>
        <v/>
      </c>
    </row>
    <row r="25" spans="1:6">
      <c r="A25" s="10"/>
      <c r="B25" s="11"/>
      <c r="C25" s="11"/>
      <c r="D25" s="10"/>
      <c r="F25" s="13" t="str">
        <f>IF(A25='بطاقة العقد'!$B$1,ROW(),"")</f>
        <v/>
      </c>
    </row>
    <row r="26" spans="1:6">
      <c r="A26" s="10"/>
      <c r="B26" s="11"/>
      <c r="C26" s="11"/>
      <c r="D26" s="10"/>
      <c r="F26" s="13" t="str">
        <f>IF(A26='بطاقة العقد'!$B$1,ROW(),"")</f>
        <v/>
      </c>
    </row>
    <row r="27" spans="1:6">
      <c r="A27" s="10"/>
      <c r="B27" s="11"/>
      <c r="C27" s="11"/>
      <c r="D27" s="10"/>
      <c r="F27" s="13" t="str">
        <f>IF(A27='بطاقة العقد'!$B$1,ROW(),"")</f>
        <v/>
      </c>
    </row>
    <row r="28" spans="1:6">
      <c r="A28" s="10"/>
      <c r="B28" s="11"/>
      <c r="C28" s="11"/>
      <c r="D28" s="10"/>
      <c r="F28" s="13" t="str">
        <f>IF(A28='بطاقة العقد'!$B$1,ROW(),"")</f>
        <v/>
      </c>
    </row>
    <row r="29" spans="1:6">
      <c r="A29" s="10"/>
      <c r="B29" s="11"/>
      <c r="C29" s="11"/>
      <c r="D29" s="10"/>
      <c r="F29" s="13" t="str">
        <f>IF(A29='بطاقة العقد'!$B$1,ROW(),"")</f>
        <v/>
      </c>
    </row>
    <row r="30" spans="1:6">
      <c r="A30" s="10"/>
      <c r="B30" s="11"/>
      <c r="C30" s="11"/>
      <c r="D30" s="10"/>
      <c r="F30" s="13" t="str">
        <f>IF(A30='بطاقة العقد'!$B$1,ROW(),"")</f>
        <v/>
      </c>
    </row>
    <row r="31" spans="1:6">
      <c r="A31" s="10"/>
      <c r="B31" s="11"/>
      <c r="C31" s="11"/>
      <c r="D31" s="10"/>
      <c r="F31" s="13" t="str">
        <f>IF(A31='بطاقة العقد'!$B$1,ROW(),"")</f>
        <v/>
      </c>
    </row>
    <row r="32" spans="1:6">
      <c r="A32" s="10"/>
      <c r="B32" s="11"/>
      <c r="C32" s="11"/>
      <c r="D32" s="10"/>
      <c r="F32" s="13" t="str">
        <f>IF(A32='بطاقة العقد'!$B$1,ROW(),"")</f>
        <v/>
      </c>
    </row>
    <row r="33" spans="1:6">
      <c r="A33" s="10"/>
      <c r="B33" s="11"/>
      <c r="C33" s="11"/>
      <c r="D33" s="10"/>
      <c r="F33" s="13" t="str">
        <f>IF(A33='بطاقة العقد'!$B$1,ROW(),"")</f>
        <v/>
      </c>
    </row>
    <row r="34" spans="1:6">
      <c r="A34" s="10"/>
      <c r="B34" s="11"/>
      <c r="C34" s="11"/>
      <c r="D34" s="10"/>
      <c r="F34" s="13" t="str">
        <f>IF(A34='بطاقة العقد'!$B$1,ROW(),"")</f>
        <v/>
      </c>
    </row>
    <row r="35" spans="1:6">
      <c r="A35" s="10"/>
      <c r="B35" s="11"/>
      <c r="C35" s="11"/>
      <c r="D35" s="10"/>
      <c r="F35" s="13" t="str">
        <f>IF(A35='بطاقة العقد'!$B$1,ROW(),"")</f>
        <v/>
      </c>
    </row>
    <row r="36" spans="1:6">
      <c r="A36" s="10"/>
      <c r="B36" s="11"/>
      <c r="C36" s="11"/>
      <c r="D36" s="10"/>
      <c r="F36" s="13" t="str">
        <f>IF(A36='بطاقة العقد'!$B$1,ROW(),"")</f>
        <v/>
      </c>
    </row>
    <row r="37" spans="1:6">
      <c r="A37" s="10"/>
      <c r="B37" s="11"/>
      <c r="C37" s="11"/>
      <c r="D37" s="10"/>
      <c r="F37" s="13" t="str">
        <f>IF(A37='بطاقة العقد'!$B$1,ROW(),"")</f>
        <v/>
      </c>
    </row>
    <row r="38" spans="1:6">
      <c r="A38" s="10"/>
      <c r="B38" s="11"/>
      <c r="C38" s="11"/>
      <c r="D38" s="10"/>
      <c r="F38" s="13" t="str">
        <f>IF(A38='بطاقة العقد'!$B$1,ROW(),"")</f>
        <v/>
      </c>
    </row>
    <row r="39" spans="1:6">
      <c r="A39" s="10"/>
      <c r="B39" s="11"/>
      <c r="C39" s="11"/>
      <c r="D39" s="10"/>
      <c r="F39" s="13" t="str">
        <f>IF(A39='بطاقة العقد'!$B$1,ROW(),"")</f>
        <v/>
      </c>
    </row>
    <row r="40" spans="1:6">
      <c r="A40" s="10"/>
      <c r="B40" s="11"/>
      <c r="C40" s="11"/>
      <c r="D40" s="10"/>
      <c r="F40" s="13" t="str">
        <f>IF(A40='بطاقة العقد'!$B$1,ROW(),"")</f>
        <v/>
      </c>
    </row>
    <row r="41" spans="1:6">
      <c r="A41" s="10"/>
      <c r="B41" s="11"/>
      <c r="C41" s="11"/>
      <c r="D41" s="10"/>
      <c r="F41" s="13" t="str">
        <f>IF(A41='بطاقة العقد'!$B$1,ROW(),"")</f>
        <v/>
      </c>
    </row>
    <row r="42" spans="1:6">
      <c r="A42" s="10"/>
      <c r="B42" s="11"/>
      <c r="C42" s="11"/>
      <c r="D42" s="10"/>
      <c r="F42" s="13" t="str">
        <f>IF(A42='بطاقة العقد'!$B$1,ROW(),"")</f>
        <v/>
      </c>
    </row>
    <row r="43" spans="1:6">
      <c r="A43" s="10"/>
      <c r="B43" s="11"/>
      <c r="C43" s="11"/>
      <c r="D43" s="10"/>
      <c r="F43" s="13" t="str">
        <f>IF(A43='بطاقة العقد'!$B$1,ROW(),"")</f>
        <v/>
      </c>
    </row>
    <row r="44" spans="1:6">
      <c r="A44" s="10"/>
      <c r="B44" s="11"/>
      <c r="C44" s="11"/>
      <c r="D44" s="10"/>
      <c r="F44" s="13" t="str">
        <f>IF(A44='بطاقة العقد'!$B$1,ROW(),"")</f>
        <v/>
      </c>
    </row>
    <row r="45" spans="1:6">
      <c r="A45" s="10"/>
      <c r="B45" s="11"/>
      <c r="C45" s="11"/>
      <c r="D45" s="10"/>
      <c r="F45" s="13" t="str">
        <f>IF(A45='بطاقة العقد'!$B$1,ROW(),"")</f>
        <v/>
      </c>
    </row>
    <row r="46" spans="1:6">
      <c r="A46" s="10"/>
      <c r="B46" s="11"/>
      <c r="C46" s="11"/>
      <c r="D46" s="10"/>
      <c r="F46" s="13" t="str">
        <f>IF(A46='بطاقة العقد'!$B$1,ROW(),"")</f>
        <v/>
      </c>
    </row>
    <row r="47" spans="1:6">
      <c r="A47" s="10"/>
      <c r="B47" s="11"/>
      <c r="C47" s="11"/>
      <c r="D47" s="10"/>
      <c r="F47" s="13" t="str">
        <f>IF(A47='بطاقة العقد'!$B$1,ROW(),"")</f>
        <v/>
      </c>
    </row>
    <row r="48" spans="1:6">
      <c r="A48" s="10"/>
      <c r="B48" s="11"/>
      <c r="C48" s="11"/>
      <c r="D48" s="10"/>
      <c r="F48" s="13" t="str">
        <f>IF(A48='بطاقة العقد'!$B$1,ROW(),"")</f>
        <v/>
      </c>
    </row>
    <row r="49" spans="1:6">
      <c r="A49" s="10"/>
      <c r="B49" s="11"/>
      <c r="C49" s="11"/>
      <c r="D49" s="10"/>
      <c r="F49" s="13" t="str">
        <f>IF(A49='بطاقة العقد'!$B$1,ROW(),"")</f>
        <v/>
      </c>
    </row>
    <row r="50" spans="1:6">
      <c r="A50" s="10"/>
      <c r="B50" s="11"/>
      <c r="C50" s="11"/>
      <c r="D50" s="10"/>
      <c r="F50" s="13" t="str">
        <f>IF(A50='بطاقة العقد'!$B$1,ROW(),"")</f>
        <v/>
      </c>
    </row>
    <row r="51" spans="1:6">
      <c r="A51" s="10"/>
      <c r="B51" s="11"/>
      <c r="C51" s="11"/>
      <c r="D51" s="10"/>
      <c r="F51" s="13" t="str">
        <f>IF(A51='بطاقة العقد'!$B$1,ROW(),"")</f>
        <v/>
      </c>
    </row>
    <row r="52" spans="1:6">
      <c r="A52" s="10"/>
      <c r="B52" s="11"/>
      <c r="C52" s="11"/>
      <c r="D52" s="10"/>
      <c r="F52" s="13" t="str">
        <f>IF(A52='بطاقة العقد'!$B$1,ROW(),"")</f>
        <v/>
      </c>
    </row>
    <row r="53" spans="1:6">
      <c r="A53" s="10"/>
      <c r="B53" s="11"/>
      <c r="C53" s="11"/>
      <c r="D53" s="10"/>
      <c r="F53" s="13" t="str">
        <f>IF(A53='بطاقة العقد'!$B$1,ROW(),"")</f>
        <v/>
      </c>
    </row>
    <row r="54" spans="1:6">
      <c r="A54" s="10"/>
      <c r="B54" s="11"/>
      <c r="C54" s="11"/>
      <c r="D54" s="10"/>
      <c r="F54" s="13" t="str">
        <f>IF(A54='بطاقة العقد'!$B$1,ROW(),"")</f>
        <v/>
      </c>
    </row>
    <row r="55" spans="1:6">
      <c r="A55" s="10"/>
      <c r="B55" s="11"/>
      <c r="C55" s="11"/>
      <c r="D55" s="10"/>
      <c r="F55" s="13" t="str">
        <f>IF(A55='بطاقة العقد'!$B$1,ROW(),"")</f>
        <v/>
      </c>
    </row>
    <row r="56" spans="1:6">
      <c r="A56" s="10"/>
      <c r="B56" s="11"/>
      <c r="C56" s="11"/>
      <c r="D56" s="10"/>
      <c r="F56" s="13" t="str">
        <f>IF(A56='بطاقة العقد'!$B$1,ROW(),"")</f>
        <v/>
      </c>
    </row>
    <row r="57" spans="1:6">
      <c r="A57" s="10"/>
      <c r="B57" s="11"/>
      <c r="C57" s="11"/>
      <c r="D57" s="10"/>
      <c r="F57" s="13" t="str">
        <f>IF(A57='بطاقة العقد'!$B$1,ROW(),"")</f>
        <v/>
      </c>
    </row>
    <row r="58" spans="1:6">
      <c r="A58" s="10"/>
      <c r="B58" s="11"/>
      <c r="C58" s="11"/>
      <c r="D58" s="10"/>
      <c r="F58" s="13" t="str">
        <f>IF(A58='بطاقة العقد'!$B$1,ROW(),"")</f>
        <v/>
      </c>
    </row>
    <row r="59" spans="1:6">
      <c r="A59" s="10"/>
      <c r="B59" s="11"/>
      <c r="C59" s="11"/>
      <c r="D59" s="10"/>
      <c r="F59" s="13" t="str">
        <f>IF(A59='بطاقة العقد'!$B$1,ROW(),"")</f>
        <v/>
      </c>
    </row>
    <row r="60" spans="1:6">
      <c r="A60" s="10"/>
      <c r="B60" s="11"/>
      <c r="C60" s="11"/>
      <c r="D60" s="10"/>
      <c r="F60" s="13" t="str">
        <f>IF(A60='بطاقة العقد'!$B$1,ROW(),"")</f>
        <v/>
      </c>
    </row>
    <row r="61" spans="1:6">
      <c r="A61" s="10"/>
      <c r="B61" s="11"/>
      <c r="C61" s="11"/>
      <c r="D61" s="10"/>
      <c r="F61" s="13" t="str">
        <f>IF(A61='بطاقة العقد'!$B$1,ROW(),"")</f>
        <v/>
      </c>
    </row>
    <row r="62" spans="1:6">
      <c r="A62" s="10"/>
      <c r="B62" s="11"/>
      <c r="C62" s="11"/>
      <c r="D62" s="10"/>
      <c r="F62" s="13" t="str">
        <f>IF(A62='بطاقة العقد'!$B$1,ROW(),"")</f>
        <v/>
      </c>
    </row>
    <row r="63" spans="1:6">
      <c r="A63" s="10"/>
      <c r="B63" s="11"/>
      <c r="C63" s="11"/>
      <c r="D63" s="10"/>
      <c r="F63" s="13" t="str">
        <f>IF(A63='بطاقة العقد'!$B$1,ROW(),"")</f>
        <v/>
      </c>
    </row>
    <row r="64" spans="1:6">
      <c r="A64" s="10"/>
      <c r="B64" s="11"/>
      <c r="C64" s="11"/>
      <c r="D64" s="10"/>
      <c r="F64" s="13" t="str">
        <f>IF(A64='بطاقة العقد'!$B$1,ROW(),"")</f>
        <v/>
      </c>
    </row>
    <row r="65" spans="1:6">
      <c r="A65" s="10"/>
      <c r="B65" s="11"/>
      <c r="C65" s="11"/>
      <c r="D65" s="10"/>
      <c r="F65" s="13" t="str">
        <f>IF(A65='بطاقة العقد'!$B$1,ROW(),"")</f>
        <v/>
      </c>
    </row>
    <row r="66" spans="1:6">
      <c r="A66" s="10"/>
      <c r="B66" s="11"/>
      <c r="C66" s="11"/>
      <c r="D66" s="10"/>
      <c r="F66" s="13" t="str">
        <f>IF(A66='بطاقة العقد'!$B$1,ROW(),"")</f>
        <v/>
      </c>
    </row>
    <row r="67" spans="1:6">
      <c r="A67" s="10"/>
      <c r="B67" s="11"/>
      <c r="C67" s="11"/>
      <c r="D67" s="10"/>
      <c r="F67" s="13" t="str">
        <f>IF(A67='بطاقة العقد'!$B$1,ROW(),"")</f>
        <v/>
      </c>
    </row>
    <row r="68" spans="1:6">
      <c r="A68" s="10"/>
      <c r="B68" s="11"/>
      <c r="C68" s="11"/>
      <c r="D68" s="10"/>
      <c r="F68" s="13" t="str">
        <f>IF(A68='بطاقة العقد'!$B$1,ROW(),"")</f>
        <v/>
      </c>
    </row>
    <row r="69" spans="1:6">
      <c r="A69" s="10"/>
      <c r="B69" s="11"/>
      <c r="C69" s="11"/>
      <c r="D69" s="10"/>
      <c r="F69" s="13" t="str">
        <f>IF(A69='بطاقة العقد'!$B$1,ROW(),"")</f>
        <v/>
      </c>
    </row>
    <row r="70" spans="1:6">
      <c r="A70" s="10"/>
      <c r="B70" s="11"/>
      <c r="C70" s="11"/>
      <c r="D70" s="10"/>
      <c r="F70" s="13" t="str">
        <f>IF(A70='بطاقة العقد'!$B$1,ROW(),"")</f>
        <v/>
      </c>
    </row>
    <row r="71" spans="1:6">
      <c r="A71" s="10"/>
      <c r="B71" s="11"/>
      <c r="C71" s="11"/>
      <c r="D71" s="10"/>
      <c r="F71" s="13" t="str">
        <f>IF(A71='بطاقة العقد'!$B$1,ROW(),"")</f>
        <v/>
      </c>
    </row>
    <row r="72" spans="1:6">
      <c r="A72" s="10"/>
      <c r="B72" s="11"/>
      <c r="C72" s="11"/>
      <c r="D72" s="10"/>
      <c r="F72" s="13" t="str">
        <f>IF(A72='بطاقة العقد'!$B$1,ROW(),"")</f>
        <v/>
      </c>
    </row>
    <row r="73" spans="1:6">
      <c r="A73" s="10"/>
      <c r="B73" s="11"/>
      <c r="C73" s="11"/>
      <c r="D73" s="10"/>
      <c r="F73" s="13" t="str">
        <f>IF(A73='بطاقة العقد'!$B$1,ROW(),"")</f>
        <v/>
      </c>
    </row>
    <row r="74" spans="1:6">
      <c r="A74" s="10"/>
      <c r="B74" s="11"/>
      <c r="C74" s="11"/>
      <c r="D74" s="10"/>
      <c r="F74" s="13" t="str">
        <f>IF(A74='بطاقة العقد'!$B$1,ROW(),"")</f>
        <v/>
      </c>
    </row>
    <row r="75" spans="1:6">
      <c r="A75" s="10"/>
      <c r="B75" s="11"/>
      <c r="C75" s="11"/>
      <c r="D75" s="10"/>
      <c r="F75" s="13" t="str">
        <f>IF(A75='بطاقة العقد'!$B$1,ROW(),"")</f>
        <v/>
      </c>
    </row>
    <row r="76" spans="1:6">
      <c r="A76" s="10"/>
      <c r="B76" s="11"/>
      <c r="C76" s="11"/>
      <c r="D76" s="10"/>
      <c r="F76" s="13" t="str">
        <f>IF(A76='بطاقة العقد'!$B$1,ROW(),"")</f>
        <v/>
      </c>
    </row>
    <row r="77" spans="1:6">
      <c r="A77" s="10"/>
      <c r="B77" s="11"/>
      <c r="C77" s="11"/>
      <c r="D77" s="10"/>
      <c r="F77" s="13" t="str">
        <f>IF(A77='بطاقة العقد'!$B$1,ROW(),"")</f>
        <v/>
      </c>
    </row>
    <row r="78" spans="1:6">
      <c r="A78" s="10"/>
      <c r="B78" s="11"/>
      <c r="C78" s="11"/>
      <c r="D78" s="10"/>
      <c r="F78" s="13" t="str">
        <f>IF(A78='بطاقة العقد'!$B$1,ROW(),"")</f>
        <v/>
      </c>
    </row>
    <row r="79" spans="1:6">
      <c r="A79" s="10"/>
      <c r="B79" s="11"/>
      <c r="C79" s="11"/>
      <c r="D79" s="10"/>
      <c r="F79" s="13" t="str">
        <f>IF(A79='بطاقة العقد'!$B$1,ROW(),"")</f>
        <v/>
      </c>
    </row>
    <row r="80" spans="1:6">
      <c r="A80" s="10"/>
      <c r="B80" s="11"/>
      <c r="C80" s="11"/>
      <c r="D80" s="10"/>
      <c r="F80" s="13" t="str">
        <f>IF(A80='بطاقة العقد'!$B$1,ROW(),"")</f>
        <v/>
      </c>
    </row>
    <row r="81" spans="1:6">
      <c r="A81" s="10"/>
      <c r="B81" s="11"/>
      <c r="C81" s="11"/>
      <c r="D81" s="10"/>
      <c r="F81" s="13" t="str">
        <f>IF(A81='بطاقة العقد'!$B$1,ROW(),"")</f>
        <v/>
      </c>
    </row>
    <row r="82" spans="1:6">
      <c r="A82" s="10"/>
      <c r="B82" s="11"/>
      <c r="C82" s="11"/>
      <c r="D82" s="10"/>
      <c r="F82" s="13" t="str">
        <f>IF(A82='بطاقة العقد'!$B$1,ROW(),"")</f>
        <v/>
      </c>
    </row>
    <row r="83" spans="1:6">
      <c r="A83" s="10"/>
      <c r="B83" s="11"/>
      <c r="C83" s="11"/>
      <c r="D83" s="10"/>
      <c r="F83" s="13" t="str">
        <f>IF(A83='بطاقة العقد'!$B$1,ROW(),"")</f>
        <v/>
      </c>
    </row>
    <row r="84" spans="1:6">
      <c r="A84" s="10"/>
      <c r="B84" s="11"/>
      <c r="C84" s="11"/>
      <c r="D84" s="10"/>
      <c r="F84" s="13" t="str">
        <f>IF(A84='بطاقة العقد'!$B$1,ROW(),"")</f>
        <v/>
      </c>
    </row>
    <row r="85" spans="1:6">
      <c r="A85" s="10"/>
      <c r="B85" s="11"/>
      <c r="C85" s="11"/>
      <c r="D85" s="10"/>
      <c r="F85" s="13" t="str">
        <f>IF(A85='بطاقة العقد'!$B$1,ROW(),"")</f>
        <v/>
      </c>
    </row>
    <row r="86" spans="1:6">
      <c r="A86" s="10"/>
      <c r="B86" s="11"/>
      <c r="C86" s="11"/>
      <c r="D86" s="10"/>
      <c r="F86" s="13" t="str">
        <f>IF(A86='بطاقة العقد'!$B$1,ROW(),"")</f>
        <v/>
      </c>
    </row>
    <row r="87" spans="1:6">
      <c r="A87" s="10"/>
      <c r="B87" s="11"/>
      <c r="C87" s="11"/>
      <c r="D87" s="10"/>
      <c r="F87" s="13" t="str">
        <f>IF(A87='بطاقة العقد'!$B$1,ROW(),"")</f>
        <v/>
      </c>
    </row>
    <row r="88" spans="1:6">
      <c r="A88" s="10"/>
      <c r="B88" s="11"/>
      <c r="C88" s="11"/>
      <c r="D88" s="10"/>
      <c r="F88" s="13" t="str">
        <f>IF(A88='بطاقة العقد'!$B$1,ROW(),"")</f>
        <v/>
      </c>
    </row>
    <row r="89" spans="1:6">
      <c r="A89" s="10"/>
      <c r="B89" s="11"/>
      <c r="C89" s="11"/>
      <c r="D89" s="10"/>
      <c r="F89" s="13" t="str">
        <f>IF(A89='بطاقة العقد'!$B$1,ROW(),"")</f>
        <v/>
      </c>
    </row>
    <row r="90" spans="1:6">
      <c r="A90" s="10"/>
      <c r="B90" s="11"/>
      <c r="C90" s="11"/>
      <c r="D90" s="10"/>
      <c r="F90" s="13" t="str">
        <f>IF(A90='بطاقة العقد'!$B$1,ROW(),"")</f>
        <v/>
      </c>
    </row>
    <row r="91" spans="1:6">
      <c r="A91" s="10"/>
      <c r="B91" s="11"/>
      <c r="C91" s="11"/>
      <c r="D91" s="10"/>
      <c r="F91" s="13" t="str">
        <f>IF(A91='بطاقة العقد'!$B$1,ROW(),"")</f>
        <v/>
      </c>
    </row>
    <row r="92" spans="1:6">
      <c r="A92" s="10"/>
      <c r="B92" s="11"/>
      <c r="C92" s="11"/>
      <c r="D92" s="10"/>
      <c r="F92" s="13" t="str">
        <f>IF(A92='بطاقة العقد'!$B$1,ROW(),"")</f>
        <v/>
      </c>
    </row>
    <row r="93" spans="1:6">
      <c r="A93" s="10"/>
      <c r="B93" s="11"/>
      <c r="C93" s="11"/>
      <c r="D93" s="10"/>
      <c r="F93" s="13" t="str">
        <f>IF(A93='بطاقة العقد'!$B$1,ROW(),"")</f>
        <v/>
      </c>
    </row>
    <row r="94" spans="1:6">
      <c r="A94" s="10"/>
      <c r="B94" s="11"/>
      <c r="C94" s="11"/>
      <c r="D94" s="10"/>
      <c r="F94" s="13" t="str">
        <f>IF(A94='بطاقة العقد'!$B$1,ROW(),"")</f>
        <v/>
      </c>
    </row>
    <row r="95" spans="1:6">
      <c r="A95" s="10"/>
      <c r="B95" s="11"/>
      <c r="C95" s="11"/>
      <c r="D95" s="10"/>
      <c r="F95" s="13" t="str">
        <f>IF(A95='بطاقة العقد'!$B$1,ROW(),"")</f>
        <v/>
      </c>
    </row>
    <row r="96" spans="1:6">
      <c r="A96" s="10"/>
      <c r="B96" s="11"/>
      <c r="C96" s="11"/>
      <c r="D96" s="10"/>
      <c r="F96" s="13" t="str">
        <f>IF(A96='بطاقة العقد'!$B$1,ROW(),"")</f>
        <v/>
      </c>
    </row>
    <row r="97" spans="1:6">
      <c r="A97" s="10"/>
      <c r="B97" s="11"/>
      <c r="C97" s="11"/>
      <c r="D97" s="10"/>
      <c r="F97" s="13" t="str">
        <f>IF(A97='بطاقة العقد'!$B$1,ROW(),"")</f>
        <v/>
      </c>
    </row>
    <row r="98" spans="1:6">
      <c r="A98" s="10"/>
      <c r="B98" s="11"/>
      <c r="C98" s="11"/>
      <c r="D98" s="10"/>
      <c r="F98" s="13" t="str">
        <f>IF(A98='بطاقة العقد'!$B$1,ROW(),"")</f>
        <v/>
      </c>
    </row>
    <row r="99" spans="1:6">
      <c r="A99" s="10"/>
      <c r="B99" s="11"/>
      <c r="C99" s="11"/>
      <c r="D99" s="10"/>
      <c r="F99" s="13" t="str">
        <f>IF(A99='بطاقة العقد'!$B$1,ROW(),"")</f>
        <v/>
      </c>
    </row>
    <row r="100" spans="1:6">
      <c r="A100" s="10"/>
      <c r="B100" s="11"/>
      <c r="C100" s="11"/>
      <c r="D100" s="10"/>
      <c r="F100" s="13" t="str">
        <f>IF(A100='بطاقة العقد'!$B$1,ROW(),"")</f>
        <v/>
      </c>
    </row>
    <row r="101" spans="1:6">
      <c r="A101" s="10"/>
      <c r="B101" s="11"/>
      <c r="C101" s="11"/>
      <c r="D101" s="10"/>
      <c r="F101" s="13" t="str">
        <f>IF(A101='بطاقة العقد'!$B$1,ROW(),"")</f>
        <v/>
      </c>
    </row>
    <row r="102" spans="1:6">
      <c r="A102" s="10"/>
      <c r="B102" s="11"/>
      <c r="C102" s="11"/>
      <c r="D102" s="10"/>
      <c r="F102" s="13" t="str">
        <f>IF(A102='بطاقة العقد'!$B$1,ROW(),"")</f>
        <v/>
      </c>
    </row>
    <row r="103" spans="1:6">
      <c r="A103" s="10"/>
      <c r="B103" s="11"/>
      <c r="C103" s="11"/>
      <c r="D103" s="10"/>
      <c r="F103" s="13" t="str">
        <f>IF(A103='بطاقة العقد'!$B$1,ROW(),"")</f>
        <v/>
      </c>
    </row>
    <row r="104" spans="1:6">
      <c r="A104" s="10"/>
      <c r="B104" s="11"/>
      <c r="C104" s="11"/>
      <c r="D104" s="10"/>
      <c r="F104" s="13" t="str">
        <f>IF(A104='بطاقة العقد'!$B$1,ROW(),"")</f>
        <v/>
      </c>
    </row>
    <row r="105" spans="1:6">
      <c r="A105" s="10"/>
      <c r="B105" s="11"/>
      <c r="C105" s="11"/>
      <c r="D105" s="10"/>
      <c r="F105" s="13" t="str">
        <f>IF(A105='بطاقة العقد'!$B$1,ROW(),"")</f>
        <v/>
      </c>
    </row>
    <row r="106" spans="1:6">
      <c r="A106" s="10"/>
      <c r="B106" s="11"/>
      <c r="C106" s="11"/>
      <c r="D106" s="10"/>
      <c r="F106" s="13" t="str">
        <f>IF(A106='بطاقة العقد'!$B$1,ROW(),"")</f>
        <v/>
      </c>
    </row>
    <row r="107" spans="1:6">
      <c r="A107" s="10"/>
      <c r="B107" s="11"/>
      <c r="C107" s="11"/>
      <c r="D107" s="10"/>
      <c r="F107" s="13" t="str">
        <f>IF(A107='بطاقة العقد'!$B$1,ROW(),"")</f>
        <v/>
      </c>
    </row>
    <row r="108" spans="1:6">
      <c r="A108" s="10"/>
      <c r="B108" s="11"/>
      <c r="C108" s="11"/>
      <c r="D108" s="10"/>
      <c r="F108" s="13" t="str">
        <f>IF(A108='بطاقة العقد'!$B$1,ROW(),"")</f>
        <v/>
      </c>
    </row>
    <row r="109" spans="1:6">
      <c r="A109" s="10"/>
      <c r="B109" s="11"/>
      <c r="C109" s="11"/>
      <c r="D109" s="10"/>
      <c r="F109" s="13" t="str">
        <f>IF(A109='بطاقة العقد'!$B$1,ROW(),"")</f>
        <v/>
      </c>
    </row>
    <row r="110" spans="1:6">
      <c r="A110" s="10"/>
      <c r="B110" s="11"/>
      <c r="C110" s="11"/>
      <c r="D110" s="10"/>
      <c r="F110" s="13" t="str">
        <f>IF(A110='بطاقة العقد'!$B$1,ROW(),"")</f>
        <v/>
      </c>
    </row>
    <row r="111" spans="1:6">
      <c r="A111" s="10"/>
      <c r="B111" s="11"/>
      <c r="C111" s="11"/>
      <c r="D111" s="10"/>
      <c r="F111" s="13" t="str">
        <f>IF(A111='بطاقة العقد'!$B$1,ROW(),"")</f>
        <v/>
      </c>
    </row>
    <row r="112" spans="1:6">
      <c r="A112" s="10"/>
      <c r="B112" s="11"/>
      <c r="C112" s="11"/>
      <c r="D112" s="10"/>
      <c r="F112" s="13" t="str">
        <f>IF(A112='بطاقة العقد'!$B$1,ROW(),"")</f>
        <v/>
      </c>
    </row>
    <row r="113" spans="1:6">
      <c r="A113" s="10"/>
      <c r="B113" s="11"/>
      <c r="C113" s="11"/>
      <c r="D113" s="10"/>
      <c r="F113" s="13" t="str">
        <f>IF(A113='بطاقة العقد'!$B$1,ROW(),"")</f>
        <v/>
      </c>
    </row>
    <row r="114" spans="1:6">
      <c r="A114" s="10"/>
      <c r="B114" s="11"/>
      <c r="C114" s="11"/>
      <c r="D114" s="10"/>
      <c r="F114" s="13" t="str">
        <f>IF(A114='بطاقة العقد'!$B$1,ROW(),"")</f>
        <v/>
      </c>
    </row>
    <row r="115" spans="1:6">
      <c r="A115" s="10"/>
      <c r="B115" s="11"/>
      <c r="C115" s="11"/>
      <c r="D115" s="10"/>
      <c r="F115" s="13" t="str">
        <f>IF(A115='بطاقة العقد'!$B$1,ROW(),"")</f>
        <v/>
      </c>
    </row>
    <row r="116" spans="1:6">
      <c r="A116" s="10"/>
      <c r="B116" s="11"/>
      <c r="C116" s="11"/>
      <c r="D116" s="10"/>
      <c r="F116" s="13" t="str">
        <f>IF(A116='بطاقة العقد'!$B$1,ROW(),"")</f>
        <v/>
      </c>
    </row>
    <row r="117" spans="1:6">
      <c r="A117" s="10"/>
      <c r="B117" s="11"/>
      <c r="C117" s="11"/>
      <c r="D117" s="10"/>
      <c r="F117" s="13" t="str">
        <f>IF(A117='بطاقة العقد'!$B$1,ROW(),"")</f>
        <v/>
      </c>
    </row>
    <row r="118" spans="1:6">
      <c r="A118" s="10"/>
      <c r="B118" s="11"/>
      <c r="C118" s="11"/>
      <c r="D118" s="10"/>
      <c r="F118" s="13" t="str">
        <f>IF(A118='بطاقة العقد'!$B$1,ROW(),"")</f>
        <v/>
      </c>
    </row>
    <row r="119" spans="1:6">
      <c r="A119" s="10"/>
      <c r="B119" s="11"/>
      <c r="C119" s="11"/>
      <c r="D119" s="10"/>
      <c r="F119" s="13" t="str">
        <f>IF(A119='بطاقة العقد'!$B$1,ROW(),"")</f>
        <v/>
      </c>
    </row>
    <row r="120" spans="1:6">
      <c r="A120" s="10"/>
      <c r="B120" s="11"/>
      <c r="C120" s="11"/>
      <c r="D120" s="10"/>
      <c r="F120" s="13" t="str">
        <f>IF(A120='بطاقة العقد'!$B$1,ROW(),"")</f>
        <v/>
      </c>
    </row>
    <row r="121" spans="1:6">
      <c r="A121" s="10"/>
      <c r="B121" s="11"/>
      <c r="C121" s="11"/>
      <c r="D121" s="10"/>
      <c r="F121" s="13" t="str">
        <f>IF(A121='بطاقة العقد'!$B$1,ROW(),"")</f>
        <v/>
      </c>
    </row>
    <row r="122" spans="1:6">
      <c r="A122" s="10"/>
      <c r="B122" s="11"/>
      <c r="C122" s="11"/>
      <c r="D122" s="10"/>
      <c r="F122" s="13" t="str">
        <f>IF(A122='بطاقة العقد'!$B$1,ROW(),"")</f>
        <v/>
      </c>
    </row>
    <row r="123" spans="1:6">
      <c r="A123" s="10"/>
      <c r="B123" s="11"/>
      <c r="C123" s="11"/>
      <c r="D123" s="10"/>
      <c r="F123" s="13" t="str">
        <f>IF(A123='بطاقة العقد'!$B$1,ROW(),"")</f>
        <v/>
      </c>
    </row>
    <row r="124" spans="1:6">
      <c r="A124" s="10"/>
      <c r="B124" s="11"/>
      <c r="C124" s="11"/>
      <c r="D124" s="10"/>
      <c r="F124" s="13" t="str">
        <f>IF(A124='بطاقة العقد'!$B$1,ROW(),"")</f>
        <v/>
      </c>
    </row>
    <row r="125" spans="1:6">
      <c r="A125" s="10"/>
      <c r="B125" s="11"/>
      <c r="C125" s="11"/>
      <c r="D125" s="10"/>
      <c r="F125" s="13" t="str">
        <f>IF(A125='بطاقة العقد'!$B$1,ROW(),"")</f>
        <v/>
      </c>
    </row>
    <row r="126" spans="1:6">
      <c r="A126" s="10"/>
      <c r="B126" s="11"/>
      <c r="C126" s="11"/>
      <c r="D126" s="10"/>
      <c r="F126" s="13" t="str">
        <f>IF(A126='بطاقة العقد'!$B$1,ROW(),"")</f>
        <v/>
      </c>
    </row>
    <row r="127" spans="1:6">
      <c r="A127" s="10"/>
      <c r="B127" s="11"/>
      <c r="C127" s="11"/>
      <c r="D127" s="10"/>
      <c r="F127" s="13" t="str">
        <f>IF(A127='بطاقة العقد'!$B$1,ROW(),"")</f>
        <v/>
      </c>
    </row>
    <row r="128" spans="1:6">
      <c r="A128" s="10"/>
      <c r="B128" s="11"/>
      <c r="C128" s="11"/>
      <c r="D128" s="10"/>
      <c r="F128" s="13" t="str">
        <f>IF(A128='بطاقة العقد'!$B$1,ROW(),"")</f>
        <v/>
      </c>
    </row>
    <row r="129" spans="1:6">
      <c r="A129" s="10"/>
      <c r="B129" s="11"/>
      <c r="C129" s="11"/>
      <c r="D129" s="10"/>
      <c r="F129" s="13" t="str">
        <f>IF(A129='بطاقة العقد'!$B$1,ROW(),"")</f>
        <v/>
      </c>
    </row>
    <row r="130" spans="1:6">
      <c r="A130" s="10"/>
      <c r="B130" s="11"/>
      <c r="C130" s="11"/>
      <c r="D130" s="10"/>
      <c r="F130" s="13" t="str">
        <f>IF(A130='بطاقة العقد'!$B$1,ROW(),"")</f>
        <v/>
      </c>
    </row>
    <row r="131" spans="1:6">
      <c r="A131" s="10"/>
      <c r="B131" s="11"/>
      <c r="C131" s="11"/>
      <c r="D131" s="10"/>
      <c r="F131" s="13" t="str">
        <f>IF(A131='بطاقة العقد'!$B$1,ROW(),"")</f>
        <v/>
      </c>
    </row>
    <row r="132" spans="1:6">
      <c r="A132" s="10"/>
      <c r="B132" s="11"/>
      <c r="C132" s="11"/>
      <c r="D132" s="10"/>
      <c r="F132" s="13" t="str">
        <f>IF(A132='بطاقة العقد'!$B$1,ROW(),"")</f>
        <v/>
      </c>
    </row>
    <row r="133" spans="1:6">
      <c r="A133" s="10"/>
      <c r="B133" s="11"/>
      <c r="C133" s="11"/>
      <c r="D133" s="10"/>
      <c r="F133" s="13" t="str">
        <f>IF(A133='بطاقة العقد'!$B$1,ROW(),"")</f>
        <v/>
      </c>
    </row>
    <row r="134" spans="1:6">
      <c r="A134" s="10"/>
      <c r="B134" s="11"/>
      <c r="C134" s="11"/>
      <c r="D134" s="10"/>
      <c r="F134" s="13" t="str">
        <f>IF(A134='بطاقة العقد'!$B$1,ROW(),"")</f>
        <v/>
      </c>
    </row>
    <row r="135" spans="1:6">
      <c r="A135" s="10"/>
      <c r="B135" s="11"/>
      <c r="C135" s="11"/>
      <c r="D135" s="10"/>
      <c r="F135" s="13" t="str">
        <f>IF(A135='بطاقة العقد'!$B$1,ROW(),"")</f>
        <v/>
      </c>
    </row>
    <row r="136" spans="1:6">
      <c r="A136" s="10"/>
      <c r="B136" s="11"/>
      <c r="C136" s="11"/>
      <c r="D136" s="10"/>
      <c r="F136" s="13" t="str">
        <f>IF(A136='بطاقة العقد'!$B$1,ROW(),"")</f>
        <v/>
      </c>
    </row>
    <row r="137" spans="1:6">
      <c r="A137" s="10"/>
      <c r="B137" s="11"/>
      <c r="C137" s="11"/>
      <c r="D137" s="10"/>
      <c r="F137" s="13" t="str">
        <f>IF(A137='بطاقة العقد'!$B$1,ROW(),"")</f>
        <v/>
      </c>
    </row>
    <row r="138" spans="1:6">
      <c r="A138" s="10"/>
      <c r="B138" s="11"/>
      <c r="C138" s="11"/>
      <c r="D138" s="10"/>
      <c r="F138" s="13" t="str">
        <f>IF(A138='بطاقة العقد'!$B$1,ROW(),"")</f>
        <v/>
      </c>
    </row>
    <row r="139" spans="1:6">
      <c r="A139" s="10"/>
      <c r="B139" s="11"/>
      <c r="C139" s="11"/>
      <c r="D139" s="10"/>
      <c r="F139" s="13" t="str">
        <f>IF(A139='بطاقة العقد'!$B$1,ROW(),"")</f>
        <v/>
      </c>
    </row>
    <row r="140" spans="1:6">
      <c r="A140" s="10"/>
      <c r="B140" s="11"/>
      <c r="C140" s="11"/>
      <c r="D140" s="10"/>
      <c r="F140" s="13" t="str">
        <f>IF(A140='بطاقة العقد'!$B$1,ROW(),"")</f>
        <v/>
      </c>
    </row>
    <row r="141" spans="1:6">
      <c r="A141" s="10"/>
      <c r="B141" s="11"/>
      <c r="C141" s="11"/>
      <c r="D141" s="10"/>
      <c r="F141" s="13" t="str">
        <f>IF(A141='بطاقة العقد'!$B$1,ROW(),"")</f>
        <v/>
      </c>
    </row>
    <row r="142" spans="1:6">
      <c r="A142" s="10"/>
      <c r="B142" s="11"/>
      <c r="C142" s="11"/>
      <c r="D142" s="10"/>
      <c r="F142" s="13" t="str">
        <f>IF(A142='بطاقة العقد'!$B$1,ROW(),"")</f>
        <v/>
      </c>
    </row>
    <row r="143" spans="1:6">
      <c r="A143" s="10"/>
      <c r="B143" s="11"/>
      <c r="C143" s="11"/>
      <c r="D143" s="10"/>
      <c r="F143" s="13" t="str">
        <f>IF(A143='بطاقة العقد'!$B$1,ROW(),"")</f>
        <v/>
      </c>
    </row>
    <row r="144" spans="1:6">
      <c r="A144" s="10"/>
      <c r="B144" s="11"/>
      <c r="C144" s="11"/>
      <c r="D144" s="10"/>
      <c r="F144" s="13" t="str">
        <f>IF(A144='بطاقة العقد'!$B$1,ROW(),"")</f>
        <v/>
      </c>
    </row>
    <row r="145" spans="1:6">
      <c r="A145" s="10"/>
      <c r="B145" s="11"/>
      <c r="C145" s="11"/>
      <c r="D145" s="10"/>
      <c r="F145" s="13" t="str">
        <f>IF(A145='بطاقة العقد'!$B$1,ROW(),"")</f>
        <v/>
      </c>
    </row>
    <row r="146" spans="1:6">
      <c r="A146" s="10"/>
      <c r="B146" s="11"/>
      <c r="C146" s="11"/>
      <c r="D146" s="10"/>
      <c r="F146" s="13" t="str">
        <f>IF(A146='بطاقة العقد'!$B$1,ROW(),"")</f>
        <v/>
      </c>
    </row>
    <row r="147" spans="1:6">
      <c r="A147" s="10"/>
      <c r="B147" s="11"/>
      <c r="C147" s="11"/>
      <c r="D147" s="10"/>
      <c r="F147" s="13" t="str">
        <f>IF(A147='بطاقة العقد'!$B$1,ROW(),"")</f>
        <v/>
      </c>
    </row>
    <row r="148" spans="1:6">
      <c r="A148" s="10"/>
      <c r="B148" s="11"/>
      <c r="C148" s="11"/>
      <c r="D148" s="10"/>
      <c r="F148" s="13" t="str">
        <f>IF(A148='بطاقة العقد'!$B$1,ROW(),"")</f>
        <v/>
      </c>
    </row>
    <row r="149" spans="1:6">
      <c r="A149" s="10"/>
      <c r="B149" s="11"/>
      <c r="C149" s="11"/>
      <c r="D149" s="10"/>
      <c r="F149" s="13" t="str">
        <f>IF(A149='بطاقة العقد'!$B$1,ROW(),"")</f>
        <v/>
      </c>
    </row>
    <row r="150" spans="1:6">
      <c r="A150" s="10"/>
      <c r="B150" s="11"/>
      <c r="C150" s="11"/>
      <c r="D150" s="10"/>
      <c r="F150" s="13" t="str">
        <f>IF(A150='بطاقة العقد'!$B$1,ROW(),"")</f>
        <v/>
      </c>
    </row>
    <row r="151" spans="1:6">
      <c r="A151" s="10"/>
      <c r="B151" s="11"/>
      <c r="C151" s="11"/>
      <c r="D151" s="10"/>
      <c r="F151" s="13" t="str">
        <f>IF(A151='بطاقة العقد'!$B$1,ROW(),"")</f>
        <v/>
      </c>
    </row>
    <row r="152" spans="1:6">
      <c r="A152" s="10"/>
      <c r="B152" s="11"/>
      <c r="C152" s="11"/>
      <c r="D152" s="10"/>
      <c r="F152" s="13" t="str">
        <f>IF(A152='بطاقة العقد'!$B$1,ROW(),"")</f>
        <v/>
      </c>
    </row>
    <row r="153" spans="1:6">
      <c r="A153" s="10"/>
      <c r="B153" s="11"/>
      <c r="C153" s="11"/>
      <c r="D153" s="10"/>
      <c r="F153" s="13" t="str">
        <f>IF(A153='بطاقة العقد'!$B$1,ROW(),"")</f>
        <v/>
      </c>
    </row>
    <row r="154" spans="1:6">
      <c r="A154" s="10"/>
      <c r="B154" s="11"/>
      <c r="C154" s="11"/>
      <c r="D154" s="10"/>
      <c r="F154" s="13" t="str">
        <f>IF(A154='بطاقة العقد'!$B$1,ROW(),"")</f>
        <v/>
      </c>
    </row>
    <row r="155" spans="1:6">
      <c r="A155" s="10"/>
      <c r="B155" s="11"/>
      <c r="C155" s="11"/>
      <c r="D155" s="10"/>
      <c r="F155" s="13" t="str">
        <f>IF(A155='بطاقة العقد'!$B$1,ROW(),"")</f>
        <v/>
      </c>
    </row>
    <row r="156" spans="1:6">
      <c r="A156" s="10"/>
      <c r="B156" s="11"/>
      <c r="C156" s="11"/>
      <c r="D156" s="10"/>
      <c r="F156" s="13" t="str">
        <f>IF(A156='بطاقة العقد'!$B$1,ROW(),"")</f>
        <v/>
      </c>
    </row>
    <row r="157" spans="1:6">
      <c r="A157" s="10"/>
      <c r="B157" s="11"/>
      <c r="C157" s="11"/>
      <c r="D157" s="10"/>
      <c r="F157" s="13" t="str">
        <f>IF(A157='بطاقة العقد'!$B$1,ROW(),"")</f>
        <v/>
      </c>
    </row>
    <row r="158" spans="1:6">
      <c r="A158" s="10"/>
      <c r="B158" s="11"/>
      <c r="C158" s="11"/>
      <c r="D158" s="10"/>
      <c r="F158" s="13" t="str">
        <f>IF(A158='بطاقة العقد'!$B$1,ROW(),"")</f>
        <v/>
      </c>
    </row>
    <row r="159" spans="1:6">
      <c r="A159" s="10"/>
      <c r="B159" s="11"/>
      <c r="C159" s="11"/>
      <c r="D159" s="10"/>
      <c r="F159" s="13" t="str">
        <f>IF(A159='بطاقة العقد'!$B$1,ROW(),"")</f>
        <v/>
      </c>
    </row>
    <row r="160" spans="1:6">
      <c r="A160" s="10"/>
      <c r="B160" s="11"/>
      <c r="C160" s="11"/>
      <c r="D160" s="10"/>
      <c r="F160" s="13" t="str">
        <f>IF(A160='بطاقة العقد'!$B$1,ROW(),"")</f>
        <v/>
      </c>
    </row>
    <row r="161" spans="1:6">
      <c r="A161" s="10"/>
      <c r="B161" s="11"/>
      <c r="C161" s="11"/>
      <c r="D161" s="10"/>
      <c r="F161" s="13" t="str">
        <f>IF(A161='بطاقة العقد'!$B$1,ROW(),"")</f>
        <v/>
      </c>
    </row>
    <row r="162" spans="1:6">
      <c r="A162" s="10"/>
      <c r="B162" s="11"/>
      <c r="C162" s="11"/>
      <c r="D162" s="10"/>
      <c r="F162" s="13" t="str">
        <f>IF(A162='بطاقة العقد'!$B$1,ROW(),"")</f>
        <v/>
      </c>
    </row>
    <row r="163" spans="1:6">
      <c r="A163" s="10"/>
      <c r="B163" s="11"/>
      <c r="C163" s="11"/>
      <c r="D163" s="10"/>
      <c r="F163" s="13" t="str">
        <f>IF(A163='بطاقة العقد'!$B$1,ROW(),"")</f>
        <v/>
      </c>
    </row>
    <row r="164" spans="1:6">
      <c r="A164" s="10"/>
      <c r="B164" s="11"/>
      <c r="C164" s="11"/>
      <c r="D164" s="10"/>
      <c r="F164" s="13" t="str">
        <f>IF(A164='بطاقة العقد'!$B$1,ROW(),"")</f>
        <v/>
      </c>
    </row>
    <row r="165" spans="1:6">
      <c r="A165" s="10"/>
      <c r="B165" s="11"/>
      <c r="C165" s="11"/>
      <c r="D165" s="10"/>
      <c r="F165" s="13" t="str">
        <f>IF(A165='بطاقة العقد'!$B$1,ROW(),"")</f>
        <v/>
      </c>
    </row>
    <row r="166" spans="1:6">
      <c r="A166" s="10"/>
      <c r="B166" s="11"/>
      <c r="C166" s="11"/>
      <c r="D166" s="10"/>
      <c r="F166" s="13" t="str">
        <f>IF(A166='بطاقة العقد'!$B$1,ROW(),"")</f>
        <v/>
      </c>
    </row>
    <row r="167" spans="1:6">
      <c r="A167" s="10"/>
      <c r="B167" s="11"/>
      <c r="C167" s="11"/>
      <c r="D167" s="10"/>
      <c r="F167" s="13" t="str">
        <f>IF(A167='بطاقة العقد'!$B$1,ROW(),"")</f>
        <v/>
      </c>
    </row>
    <row r="168" spans="1:6">
      <c r="A168" s="10"/>
      <c r="B168" s="11"/>
      <c r="C168" s="11"/>
      <c r="D168" s="10"/>
      <c r="F168" s="13" t="str">
        <f>IF(A168='بطاقة العقد'!$B$1,ROW(),"")</f>
        <v/>
      </c>
    </row>
    <row r="169" spans="1:6">
      <c r="A169" s="10"/>
      <c r="B169" s="11"/>
      <c r="C169" s="11"/>
      <c r="D169" s="10"/>
      <c r="F169" s="13" t="str">
        <f>IF(A169='بطاقة العقد'!$B$1,ROW(),"")</f>
        <v/>
      </c>
    </row>
    <row r="170" spans="1:6">
      <c r="A170" s="10"/>
      <c r="B170" s="11"/>
      <c r="C170" s="11"/>
      <c r="D170" s="10"/>
      <c r="F170" s="13" t="str">
        <f>IF(A170='بطاقة العقد'!$B$1,ROW(),"")</f>
        <v/>
      </c>
    </row>
    <row r="171" spans="1:6">
      <c r="A171" s="10"/>
      <c r="B171" s="11"/>
      <c r="C171" s="11"/>
      <c r="D171" s="10"/>
      <c r="F171" s="13" t="str">
        <f>IF(A171='بطاقة العقد'!$B$1,ROW(),"")</f>
        <v/>
      </c>
    </row>
    <row r="172" spans="1:6">
      <c r="A172" s="10"/>
      <c r="B172" s="11"/>
      <c r="C172" s="11"/>
      <c r="D172" s="10"/>
      <c r="F172" s="13" t="str">
        <f>IF(A172='بطاقة العقد'!$B$1,ROW(),"")</f>
        <v/>
      </c>
    </row>
    <row r="173" spans="1:6">
      <c r="A173" s="10"/>
      <c r="B173" s="11"/>
      <c r="C173" s="11"/>
      <c r="D173" s="10"/>
      <c r="F173" s="13" t="str">
        <f>IF(A173='بطاقة العقد'!$B$1,ROW(),"")</f>
        <v/>
      </c>
    </row>
    <row r="174" spans="1:6">
      <c r="A174" s="10"/>
      <c r="B174" s="11"/>
      <c r="C174" s="11"/>
      <c r="D174" s="10"/>
      <c r="F174" s="13" t="str">
        <f>IF(A174='بطاقة العقد'!$B$1,ROW(),"")</f>
        <v/>
      </c>
    </row>
    <row r="175" spans="1:6">
      <c r="A175" s="10"/>
      <c r="B175" s="11"/>
      <c r="C175" s="11"/>
      <c r="D175" s="10"/>
      <c r="F175" s="13" t="str">
        <f>IF(A175='بطاقة العقد'!$B$1,ROW(),"")</f>
        <v/>
      </c>
    </row>
    <row r="176" spans="1:6">
      <c r="A176" s="10"/>
      <c r="B176" s="11"/>
      <c r="C176" s="11"/>
      <c r="D176" s="10"/>
      <c r="F176" s="13" t="str">
        <f>IF(A176='بطاقة العقد'!$B$1,ROW(),"")</f>
        <v/>
      </c>
    </row>
    <row r="177" spans="1:6">
      <c r="A177" s="10"/>
      <c r="B177" s="11"/>
      <c r="C177" s="11"/>
      <c r="D177" s="10"/>
      <c r="F177" s="13" t="str">
        <f>IF(A177='بطاقة العقد'!$B$1,ROW(),"")</f>
        <v/>
      </c>
    </row>
    <row r="178" spans="1:6">
      <c r="A178" s="10"/>
      <c r="B178" s="11"/>
      <c r="C178" s="11"/>
      <c r="D178" s="10"/>
      <c r="F178" s="13" t="str">
        <f>IF(A178='بطاقة العقد'!$B$1,ROW(),"")</f>
        <v/>
      </c>
    </row>
    <row r="179" spans="1:6">
      <c r="A179" s="10"/>
      <c r="B179" s="11"/>
      <c r="C179" s="11"/>
      <c r="D179" s="10"/>
      <c r="F179" s="13" t="str">
        <f>IF(A179='بطاقة العقد'!$B$1,ROW(),"")</f>
        <v/>
      </c>
    </row>
    <row r="180" spans="1:6">
      <c r="A180" s="10"/>
      <c r="B180" s="11"/>
      <c r="C180" s="11"/>
      <c r="D180" s="10"/>
      <c r="F180" s="13" t="str">
        <f>IF(A180='بطاقة العقد'!$B$1,ROW(),"")</f>
        <v/>
      </c>
    </row>
    <row r="181" spans="1:6">
      <c r="A181" s="10"/>
      <c r="B181" s="11"/>
      <c r="C181" s="11"/>
      <c r="D181" s="10"/>
      <c r="F181" s="13" t="str">
        <f>IF(A181='بطاقة العقد'!$B$1,ROW(),"")</f>
        <v/>
      </c>
    </row>
    <row r="182" spans="1:6">
      <c r="A182" s="10"/>
      <c r="B182" s="11"/>
      <c r="C182" s="11"/>
      <c r="D182" s="10"/>
      <c r="F182" s="13" t="str">
        <f>IF(A182='بطاقة العقد'!$B$1,ROW(),"")</f>
        <v/>
      </c>
    </row>
    <row r="183" spans="1:6">
      <c r="A183" s="10"/>
      <c r="B183" s="11"/>
      <c r="C183" s="11"/>
      <c r="D183" s="10"/>
      <c r="F183" s="13" t="str">
        <f>IF(A183='بطاقة العقد'!$B$1,ROW(),"")</f>
        <v/>
      </c>
    </row>
    <row r="184" spans="1:6">
      <c r="A184" s="10"/>
      <c r="B184" s="11"/>
      <c r="C184" s="11"/>
      <c r="D184" s="10"/>
      <c r="F184" s="13" t="str">
        <f>IF(A184='بطاقة العقد'!$B$1,ROW(),"")</f>
        <v/>
      </c>
    </row>
    <row r="185" spans="1:6">
      <c r="A185" s="10"/>
      <c r="B185" s="11"/>
      <c r="C185" s="11"/>
      <c r="D185" s="10"/>
      <c r="F185" s="13" t="str">
        <f>IF(A185='بطاقة العقد'!$B$1,ROW(),"")</f>
        <v/>
      </c>
    </row>
    <row r="186" spans="1:6">
      <c r="A186" s="10"/>
      <c r="B186" s="11"/>
      <c r="C186" s="11"/>
      <c r="D186" s="10"/>
      <c r="F186" s="13" t="str">
        <f>IF(A186='بطاقة العقد'!$B$1,ROW(),"")</f>
        <v/>
      </c>
    </row>
    <row r="187" spans="1:6">
      <c r="A187" s="10"/>
      <c r="B187" s="11"/>
      <c r="C187" s="11"/>
      <c r="D187" s="10"/>
      <c r="F187" s="13" t="str">
        <f>IF(A187='بطاقة العقد'!$B$1,ROW(),"")</f>
        <v/>
      </c>
    </row>
    <row r="188" spans="1:6">
      <c r="A188" s="10"/>
      <c r="B188" s="11"/>
      <c r="C188" s="11"/>
      <c r="D188" s="10"/>
      <c r="F188" s="13" t="str">
        <f>IF(A188='بطاقة العقد'!$B$1,ROW(),"")</f>
        <v/>
      </c>
    </row>
    <row r="189" spans="1:6">
      <c r="A189" s="10"/>
      <c r="B189" s="11"/>
      <c r="C189" s="11"/>
      <c r="D189" s="10"/>
      <c r="F189" s="13" t="str">
        <f>IF(A189='بطاقة العقد'!$B$1,ROW(),"")</f>
        <v/>
      </c>
    </row>
    <row r="190" spans="1:6">
      <c r="A190" s="10"/>
      <c r="B190" s="11"/>
      <c r="C190" s="11"/>
      <c r="D190" s="10"/>
      <c r="F190" s="13" t="str">
        <f>IF(A190='بطاقة العقد'!$B$1,ROW(),"")</f>
        <v/>
      </c>
    </row>
    <row r="191" spans="1:6">
      <c r="A191" s="10"/>
      <c r="B191" s="11"/>
      <c r="C191" s="11"/>
      <c r="D191" s="10"/>
      <c r="F191" s="13" t="str">
        <f>IF(A191='بطاقة العقد'!$B$1,ROW(),"")</f>
        <v/>
      </c>
    </row>
    <row r="192" spans="1:6">
      <c r="A192" s="10"/>
      <c r="B192" s="11"/>
      <c r="C192" s="11"/>
      <c r="D192" s="10"/>
      <c r="F192" s="13" t="str">
        <f>IF(A192='بطاقة العقد'!$B$1,ROW(),"")</f>
        <v/>
      </c>
    </row>
    <row r="193" spans="1:6">
      <c r="A193" s="10"/>
      <c r="B193" s="11"/>
      <c r="C193" s="11"/>
      <c r="D193" s="10"/>
      <c r="F193" s="13" t="str">
        <f>IF(A193='بطاقة العقد'!$B$1,ROW(),"")</f>
        <v/>
      </c>
    </row>
    <row r="194" spans="1:6">
      <c r="A194" s="10"/>
      <c r="B194" s="11"/>
      <c r="C194" s="11"/>
      <c r="D194" s="10"/>
      <c r="F194" s="13" t="str">
        <f>IF(A194='بطاقة العقد'!$B$1,ROW(),"")</f>
        <v/>
      </c>
    </row>
    <row r="195" spans="1:6">
      <c r="A195" s="10"/>
      <c r="B195" s="11"/>
      <c r="C195" s="11"/>
      <c r="D195" s="10"/>
      <c r="F195" s="13" t="str">
        <f>IF(A195='بطاقة العقد'!$B$1,ROW(),"")</f>
        <v/>
      </c>
    </row>
    <row r="196" spans="1:6">
      <c r="A196" s="10"/>
      <c r="B196" s="11"/>
      <c r="C196" s="11"/>
      <c r="D196" s="10"/>
      <c r="F196" s="13" t="str">
        <f>IF(A196='بطاقة العقد'!$B$1,ROW(),"")</f>
        <v/>
      </c>
    </row>
    <row r="197" spans="1:6">
      <c r="A197" s="10"/>
      <c r="B197" s="11"/>
      <c r="C197" s="11"/>
      <c r="D197" s="10"/>
      <c r="F197" s="13" t="str">
        <f>IF(A197='بطاقة العقد'!$B$1,ROW(),"")</f>
        <v/>
      </c>
    </row>
    <row r="198" spans="1:6">
      <c r="A198" s="10"/>
      <c r="B198" s="11"/>
      <c r="C198" s="11"/>
      <c r="D198" s="10"/>
      <c r="F198" s="13" t="str">
        <f>IF(A198='بطاقة العقد'!$B$1,ROW(),"")</f>
        <v/>
      </c>
    </row>
    <row r="199" spans="1:6">
      <c r="A199" s="10"/>
      <c r="B199" s="11"/>
      <c r="C199" s="11"/>
      <c r="D199" s="10"/>
      <c r="F199" s="13" t="str">
        <f>IF(A199='بطاقة العقد'!$B$1,ROW(),"")</f>
        <v/>
      </c>
    </row>
    <row r="200" spans="1:6">
      <c r="A200" s="10"/>
      <c r="B200" s="11"/>
      <c r="C200" s="11"/>
      <c r="D200" s="10"/>
      <c r="F200" s="13" t="str">
        <f>IF(A200='بطاقة العقد'!$B$1,ROW(),"")</f>
        <v/>
      </c>
    </row>
    <row r="201" spans="1:6">
      <c r="A201" s="10"/>
      <c r="B201" s="11"/>
      <c r="C201" s="11"/>
      <c r="D201" s="10"/>
      <c r="F201" s="13" t="str">
        <f>IF(A201='بطاقة العقد'!$B$1,ROW(),"")</f>
        <v/>
      </c>
    </row>
    <row r="202" spans="1:6">
      <c r="A202" s="10"/>
      <c r="B202" s="11"/>
      <c r="C202" s="11"/>
      <c r="D202" s="10"/>
      <c r="F202" s="13" t="str">
        <f>IF(A202='بطاقة العقد'!$B$1,ROW(),"")</f>
        <v/>
      </c>
    </row>
    <row r="203" spans="1:6">
      <c r="A203" s="10"/>
      <c r="B203" s="11"/>
      <c r="C203" s="11"/>
      <c r="D203" s="10"/>
      <c r="F203" s="13" t="str">
        <f>IF(A203='بطاقة العقد'!$B$1,ROW(),"")</f>
        <v/>
      </c>
    </row>
    <row r="204" spans="1:6">
      <c r="A204" s="10"/>
      <c r="B204" s="11"/>
      <c r="C204" s="11"/>
      <c r="D204" s="10"/>
      <c r="F204" s="13" t="str">
        <f>IF(A204='بطاقة العقد'!$B$1,ROW(),"")</f>
        <v/>
      </c>
    </row>
    <row r="205" spans="1:6">
      <c r="A205" s="10"/>
      <c r="B205" s="11"/>
      <c r="C205" s="11"/>
      <c r="D205" s="10"/>
      <c r="F205" s="13" t="str">
        <f>IF(A205='بطاقة العقد'!$B$1,ROW(),"")</f>
        <v/>
      </c>
    </row>
    <row r="206" spans="1:6">
      <c r="A206" s="10"/>
      <c r="B206" s="11"/>
      <c r="C206" s="11"/>
      <c r="D206" s="10"/>
      <c r="F206" s="13" t="str">
        <f>IF(A206='بطاقة العقد'!$B$1,ROW(),"")</f>
        <v/>
      </c>
    </row>
    <row r="207" spans="1:6">
      <c r="A207" s="10"/>
      <c r="B207" s="11"/>
      <c r="C207" s="11"/>
      <c r="D207" s="10"/>
      <c r="F207" s="13" t="str">
        <f>IF(A207='بطاقة العقد'!$B$1,ROW(),"")</f>
        <v/>
      </c>
    </row>
    <row r="208" spans="1:6">
      <c r="A208" s="10"/>
      <c r="B208" s="11"/>
      <c r="C208" s="11"/>
      <c r="D208" s="10"/>
      <c r="F208" s="13" t="str">
        <f>IF(A208='بطاقة العقد'!$B$1,ROW(),"")</f>
        <v/>
      </c>
    </row>
    <row r="209" spans="1:6">
      <c r="A209" s="10"/>
      <c r="B209" s="11"/>
      <c r="C209" s="11"/>
      <c r="D209" s="10"/>
      <c r="F209" s="13" t="str">
        <f>IF(A209='بطاقة العقد'!$B$1,ROW(),"")</f>
        <v/>
      </c>
    </row>
    <row r="210" spans="1:6">
      <c r="A210" s="10"/>
      <c r="B210" s="11"/>
      <c r="C210" s="11"/>
      <c r="D210" s="10"/>
      <c r="F210" s="13" t="str">
        <f>IF(A210='بطاقة العقد'!$B$1,ROW(),"")</f>
        <v/>
      </c>
    </row>
    <row r="211" spans="1:6">
      <c r="A211" s="10"/>
      <c r="B211" s="11"/>
      <c r="C211" s="11"/>
      <c r="D211" s="10"/>
      <c r="F211" s="13" t="str">
        <f>IF(A211='بطاقة العقد'!$B$1,ROW(),"")</f>
        <v/>
      </c>
    </row>
    <row r="212" spans="1:6">
      <c r="A212" s="10"/>
      <c r="B212" s="11"/>
      <c r="C212" s="11"/>
      <c r="D212" s="10"/>
      <c r="F212" s="13" t="str">
        <f>IF(A212='بطاقة العقد'!$B$1,ROW(),"")</f>
        <v/>
      </c>
    </row>
    <row r="213" spans="1:6">
      <c r="A213" s="10"/>
      <c r="B213" s="11"/>
      <c r="C213" s="11"/>
      <c r="D213" s="10"/>
      <c r="F213" s="13" t="str">
        <f>IF(A213='بطاقة العقد'!$B$1,ROW(),"")</f>
        <v/>
      </c>
    </row>
    <row r="214" spans="1:6">
      <c r="A214" s="10"/>
      <c r="B214" s="11"/>
      <c r="C214" s="11"/>
      <c r="D214" s="10"/>
      <c r="F214" s="13" t="str">
        <f>IF(A214='بطاقة العقد'!$B$1,ROW(),"")</f>
        <v/>
      </c>
    </row>
    <row r="215" spans="1:6">
      <c r="A215" s="10"/>
      <c r="B215" s="11"/>
      <c r="C215" s="11"/>
      <c r="D215" s="10"/>
      <c r="F215" s="13" t="str">
        <f>IF(A215='بطاقة العقد'!$B$1,ROW(),"")</f>
        <v/>
      </c>
    </row>
    <row r="216" spans="1:6">
      <c r="A216" s="10"/>
      <c r="B216" s="11"/>
      <c r="C216" s="11"/>
      <c r="D216" s="10"/>
      <c r="F216" s="13" t="str">
        <f>IF(A216='بطاقة العقد'!$B$1,ROW(),"")</f>
        <v/>
      </c>
    </row>
    <row r="217" spans="1:6">
      <c r="A217" s="10"/>
      <c r="B217" s="11"/>
      <c r="C217" s="11"/>
      <c r="D217" s="10"/>
      <c r="F217" s="13" t="str">
        <f>IF(A217='بطاقة العقد'!$B$1,ROW(),"")</f>
        <v/>
      </c>
    </row>
    <row r="218" spans="1:6">
      <c r="A218" s="10"/>
      <c r="B218" s="11"/>
      <c r="C218" s="11"/>
      <c r="D218" s="10"/>
      <c r="F218" s="13" t="str">
        <f>IF(A218='بطاقة العقد'!$B$1,ROW(),"")</f>
        <v/>
      </c>
    </row>
    <row r="219" spans="1:6">
      <c r="A219" s="10"/>
      <c r="B219" s="11"/>
      <c r="C219" s="11"/>
      <c r="D219" s="10"/>
      <c r="F219" s="13" t="str">
        <f>IF(A219='بطاقة العقد'!$B$1,ROW(),"")</f>
        <v/>
      </c>
    </row>
    <row r="220" spans="1:6">
      <c r="A220" s="10"/>
      <c r="B220" s="11"/>
      <c r="C220" s="11"/>
      <c r="D220" s="10"/>
      <c r="F220" s="13" t="str">
        <f>IF(A220='بطاقة العقد'!$B$1,ROW(),"")</f>
        <v/>
      </c>
    </row>
    <row r="221" spans="1:6">
      <c r="A221" s="10"/>
      <c r="B221" s="11"/>
      <c r="C221" s="11"/>
      <c r="D221" s="10"/>
      <c r="F221" s="13" t="str">
        <f>IF(A221='بطاقة العقد'!$B$1,ROW(),"")</f>
        <v/>
      </c>
    </row>
    <row r="222" spans="1:6">
      <c r="A222" s="10"/>
      <c r="B222" s="11"/>
      <c r="C222" s="11"/>
      <c r="D222" s="10"/>
      <c r="F222" s="13" t="str">
        <f>IF(A222='بطاقة العقد'!$B$1,ROW(),"")</f>
        <v/>
      </c>
    </row>
    <row r="223" spans="1:6">
      <c r="A223" s="10"/>
      <c r="B223" s="11"/>
      <c r="C223" s="11"/>
      <c r="D223" s="10"/>
      <c r="F223" s="13" t="str">
        <f>IF(A223='بطاقة العقد'!$B$1,ROW(),"")</f>
        <v/>
      </c>
    </row>
    <row r="224" spans="1:6">
      <c r="A224" s="10"/>
      <c r="B224" s="11"/>
      <c r="C224" s="11"/>
      <c r="D224" s="10"/>
      <c r="F224" s="13" t="str">
        <f>IF(A224='بطاقة العقد'!$B$1,ROW(),"")</f>
        <v/>
      </c>
    </row>
    <row r="225" spans="1:6">
      <c r="A225" s="10"/>
      <c r="B225" s="11"/>
      <c r="C225" s="11"/>
      <c r="D225" s="10"/>
      <c r="F225" s="13" t="str">
        <f>IF(A225='بطاقة العقد'!$B$1,ROW(),"")</f>
        <v/>
      </c>
    </row>
    <row r="226" spans="1:6">
      <c r="A226" s="10"/>
      <c r="B226" s="11"/>
      <c r="C226" s="11"/>
      <c r="D226" s="10"/>
      <c r="F226" s="13" t="str">
        <f>IF(A226='بطاقة العقد'!$B$1,ROW(),"")</f>
        <v/>
      </c>
    </row>
    <row r="227" spans="1:6">
      <c r="A227" s="10"/>
      <c r="B227" s="11"/>
      <c r="C227" s="11"/>
      <c r="D227" s="10"/>
      <c r="F227" s="13" t="str">
        <f>IF(A227='بطاقة العقد'!$B$1,ROW(),"")</f>
        <v/>
      </c>
    </row>
    <row r="228" spans="1:6">
      <c r="A228" s="10"/>
      <c r="B228" s="11"/>
      <c r="C228" s="11"/>
      <c r="D228" s="10"/>
      <c r="F228" s="13" t="str">
        <f>IF(A228='بطاقة العقد'!$B$1,ROW(),"")</f>
        <v/>
      </c>
    </row>
    <row r="229" spans="1:6">
      <c r="A229" s="10"/>
      <c r="B229" s="11"/>
      <c r="C229" s="11"/>
      <c r="D229" s="10"/>
      <c r="F229" s="13" t="str">
        <f>IF(A229='بطاقة العقد'!$B$1,ROW(),"")</f>
        <v/>
      </c>
    </row>
    <row r="230" spans="1:6">
      <c r="A230" s="10"/>
      <c r="B230" s="11"/>
      <c r="C230" s="11"/>
      <c r="D230" s="10"/>
      <c r="F230" s="13" t="str">
        <f>IF(A230='بطاقة العقد'!$B$1,ROW(),"")</f>
        <v/>
      </c>
    </row>
    <row r="231" spans="1:6">
      <c r="A231" s="10"/>
      <c r="B231" s="11"/>
      <c r="C231" s="11"/>
      <c r="D231" s="10"/>
      <c r="F231" s="13" t="str">
        <f>IF(A231='بطاقة العقد'!$B$1,ROW(),"")</f>
        <v/>
      </c>
    </row>
    <row r="232" spans="1:6">
      <c r="A232" s="10"/>
      <c r="B232" s="11"/>
      <c r="C232" s="11"/>
      <c r="D232" s="10"/>
      <c r="F232" s="13" t="str">
        <f>IF(A232='بطاقة العقد'!$B$1,ROW(),"")</f>
        <v/>
      </c>
    </row>
    <row r="233" spans="1:6">
      <c r="A233" s="10"/>
      <c r="B233" s="11"/>
      <c r="C233" s="11"/>
      <c r="D233" s="10"/>
      <c r="F233" s="13" t="str">
        <f>IF(A233='بطاقة العقد'!$B$1,ROW(),"")</f>
        <v/>
      </c>
    </row>
    <row r="234" spans="1:6">
      <c r="A234" s="10"/>
      <c r="B234" s="11"/>
      <c r="C234" s="11"/>
      <c r="D234" s="10"/>
      <c r="F234" s="13" t="str">
        <f>IF(A234='بطاقة العقد'!$B$1,ROW(),"")</f>
        <v/>
      </c>
    </row>
    <row r="235" spans="1:6">
      <c r="A235" s="10"/>
      <c r="B235" s="11"/>
      <c r="C235" s="11"/>
      <c r="D235" s="10"/>
      <c r="F235" s="13" t="str">
        <f>IF(A235='بطاقة العقد'!$B$1,ROW(),"")</f>
        <v/>
      </c>
    </row>
    <row r="236" spans="1:6">
      <c r="A236" s="10"/>
      <c r="B236" s="11"/>
      <c r="C236" s="11"/>
      <c r="D236" s="10"/>
      <c r="F236" s="13" t="str">
        <f>IF(A236='بطاقة العقد'!$B$1,ROW(),"")</f>
        <v/>
      </c>
    </row>
    <row r="237" spans="1:6">
      <c r="A237" s="10"/>
      <c r="B237" s="11"/>
      <c r="C237" s="11"/>
      <c r="D237" s="10"/>
      <c r="F237" s="13" t="str">
        <f>IF(A237='بطاقة العقد'!$B$1,ROW(),"")</f>
        <v/>
      </c>
    </row>
    <row r="238" spans="1:6">
      <c r="A238" s="10"/>
      <c r="B238" s="11"/>
      <c r="C238" s="11"/>
      <c r="D238" s="10"/>
      <c r="F238" s="13" t="str">
        <f>IF(A238='بطاقة العقد'!$B$1,ROW(),"")</f>
        <v/>
      </c>
    </row>
    <row r="239" spans="1:6">
      <c r="A239" s="10"/>
      <c r="B239" s="11"/>
      <c r="C239" s="11"/>
      <c r="D239" s="10"/>
      <c r="F239" s="13" t="str">
        <f>IF(A239='بطاقة العقد'!$B$1,ROW(),"")</f>
        <v/>
      </c>
    </row>
    <row r="240" spans="1:6">
      <c r="A240" s="10"/>
      <c r="B240" s="11"/>
      <c r="C240" s="11"/>
      <c r="D240" s="10"/>
      <c r="F240" s="13" t="str">
        <f>IF(A240='بطاقة العقد'!$B$1,ROW(),"")</f>
        <v/>
      </c>
    </row>
    <row r="241" spans="1:6">
      <c r="A241" s="10"/>
      <c r="B241" s="11"/>
      <c r="C241" s="11"/>
      <c r="D241" s="10"/>
      <c r="F241" s="13" t="str">
        <f>IF(A241='بطاقة العقد'!$B$1,ROW(),"")</f>
        <v/>
      </c>
    </row>
    <row r="242" spans="1:6">
      <c r="A242" s="10"/>
      <c r="B242" s="11"/>
      <c r="C242" s="11"/>
      <c r="D242" s="10"/>
      <c r="F242" s="13" t="str">
        <f>IF(A242='بطاقة العقد'!$B$1,ROW(),"")</f>
        <v/>
      </c>
    </row>
    <row r="243" spans="1:6">
      <c r="A243" s="10"/>
      <c r="B243" s="11"/>
      <c r="C243" s="11"/>
      <c r="D243" s="10"/>
      <c r="F243" s="13" t="str">
        <f>IF(A243='بطاقة العقد'!$B$1,ROW(),"")</f>
        <v/>
      </c>
    </row>
    <row r="244" spans="1:6">
      <c r="A244" s="10"/>
      <c r="B244" s="11"/>
      <c r="C244" s="11"/>
      <c r="D244" s="10"/>
      <c r="F244" s="13" t="str">
        <f>IF(A244='بطاقة العقد'!$B$1,ROW(),"")</f>
        <v/>
      </c>
    </row>
    <row r="245" spans="1:6">
      <c r="A245" s="10"/>
      <c r="B245" s="11"/>
      <c r="C245" s="11"/>
      <c r="D245" s="10"/>
      <c r="F245" s="13" t="str">
        <f>IF(A245='بطاقة العقد'!$B$1,ROW(),"")</f>
        <v/>
      </c>
    </row>
    <row r="246" spans="1:6">
      <c r="A246" s="10"/>
      <c r="B246" s="11"/>
      <c r="C246" s="11"/>
      <c r="D246" s="10"/>
      <c r="F246" s="13" t="str">
        <f>IF(A246='بطاقة العقد'!$B$1,ROW(),"")</f>
        <v/>
      </c>
    </row>
    <row r="247" spans="1:6">
      <c r="A247" s="10"/>
      <c r="B247" s="11"/>
      <c r="C247" s="11"/>
      <c r="D247" s="10"/>
      <c r="F247" s="13" t="str">
        <f>IF(A247='بطاقة العقد'!$B$1,ROW(),"")</f>
        <v/>
      </c>
    </row>
    <row r="248" spans="1:6">
      <c r="A248" s="10"/>
      <c r="B248" s="11"/>
      <c r="C248" s="11"/>
      <c r="D248" s="10"/>
      <c r="F248" s="13" t="str">
        <f>IF(A248='بطاقة العقد'!$B$1,ROW(),"")</f>
        <v/>
      </c>
    </row>
    <row r="249" spans="1:6">
      <c r="A249" s="10"/>
      <c r="B249" s="11"/>
      <c r="C249" s="11"/>
      <c r="D249" s="10"/>
      <c r="F249" s="13" t="str">
        <f>IF(A249='بطاقة العقد'!$B$1,ROW(),"")</f>
        <v/>
      </c>
    </row>
    <row r="250" spans="1:6">
      <c r="A250" s="10"/>
      <c r="B250" s="11"/>
      <c r="C250" s="11"/>
      <c r="D250" s="10"/>
      <c r="F250" s="13" t="str">
        <f>IF(A250='بطاقة العقد'!$B$1,ROW(),"")</f>
        <v/>
      </c>
    </row>
    <row r="251" spans="1:6">
      <c r="A251" s="10"/>
      <c r="B251" s="11"/>
      <c r="C251" s="11"/>
      <c r="D251" s="10"/>
      <c r="F251" s="13" t="str">
        <f>IF(A251='بطاقة العقد'!$B$1,ROW(),"")</f>
        <v/>
      </c>
    </row>
    <row r="252" spans="1:6">
      <c r="A252" s="10"/>
      <c r="B252" s="11"/>
      <c r="C252" s="11"/>
      <c r="D252" s="10"/>
      <c r="F252" s="13" t="str">
        <f>IF(A252='بطاقة العقد'!$B$1,ROW(),"")</f>
        <v/>
      </c>
    </row>
    <row r="253" spans="1:6">
      <c r="A253" s="10"/>
      <c r="B253" s="11"/>
      <c r="C253" s="11"/>
      <c r="D253" s="10"/>
      <c r="F253" s="13" t="str">
        <f>IF(A253='بطاقة العقد'!$B$1,ROW(),"")</f>
        <v/>
      </c>
    </row>
    <row r="254" spans="1:6">
      <c r="A254" s="10"/>
      <c r="B254" s="11"/>
      <c r="C254" s="11"/>
      <c r="D254" s="10"/>
      <c r="F254" s="13" t="str">
        <f>IF(A254='بطاقة العقد'!$B$1,ROW(),"")</f>
        <v/>
      </c>
    </row>
    <row r="255" spans="1:6">
      <c r="A255" s="10"/>
      <c r="B255" s="11"/>
      <c r="C255" s="11"/>
      <c r="D255" s="10"/>
      <c r="F255" s="13" t="str">
        <f>IF(A255='بطاقة العقد'!$B$1,ROW(),"")</f>
        <v/>
      </c>
    </row>
    <row r="256" spans="1:6">
      <c r="A256" s="10"/>
      <c r="B256" s="11"/>
      <c r="C256" s="11"/>
      <c r="D256" s="10"/>
      <c r="F256" s="13" t="str">
        <f>IF(A256='بطاقة العقد'!$B$1,ROW(),"")</f>
        <v/>
      </c>
    </row>
    <row r="257" spans="1:6">
      <c r="A257" s="10"/>
      <c r="B257" s="11"/>
      <c r="C257" s="11"/>
      <c r="D257" s="10"/>
      <c r="F257" s="13" t="str">
        <f>IF(A257='بطاقة العقد'!$B$1,ROW(),"")</f>
        <v/>
      </c>
    </row>
    <row r="258" spans="1:6">
      <c r="A258" s="10"/>
      <c r="B258" s="11"/>
      <c r="C258" s="11"/>
      <c r="D258" s="10"/>
      <c r="F258" s="13" t="str">
        <f>IF(A258='بطاقة العقد'!$B$1,ROW(),"")</f>
        <v/>
      </c>
    </row>
    <row r="259" spans="1:6">
      <c r="A259" s="10"/>
      <c r="B259" s="11"/>
      <c r="C259" s="11"/>
      <c r="D259" s="10"/>
      <c r="F259" s="13" t="str">
        <f>IF(A259='بطاقة العقد'!$B$1,ROW(),"")</f>
        <v/>
      </c>
    </row>
    <row r="260" spans="1:6">
      <c r="A260" s="10"/>
      <c r="B260" s="11"/>
      <c r="C260" s="11"/>
      <c r="D260" s="10"/>
      <c r="F260" s="13" t="str">
        <f>IF(A260='بطاقة العقد'!$B$1,ROW(),"")</f>
        <v/>
      </c>
    </row>
    <row r="261" spans="1:6">
      <c r="A261" s="10"/>
      <c r="B261" s="11"/>
      <c r="C261" s="11"/>
      <c r="D261" s="10"/>
      <c r="F261" s="13" t="str">
        <f>IF(A261='بطاقة العقد'!$B$1,ROW(),"")</f>
        <v/>
      </c>
    </row>
    <row r="262" spans="1:6">
      <c r="A262" s="10"/>
      <c r="B262" s="11"/>
      <c r="C262" s="11"/>
      <c r="D262" s="10"/>
      <c r="F262" s="13" t="str">
        <f>IF(A262='بطاقة العقد'!$B$1,ROW(),"")</f>
        <v/>
      </c>
    </row>
    <row r="263" spans="1:6">
      <c r="A263" s="10"/>
      <c r="B263" s="11"/>
      <c r="C263" s="11"/>
      <c r="D263" s="10"/>
      <c r="F263" s="13" t="str">
        <f>IF(A263='بطاقة العقد'!$B$1,ROW(),"")</f>
        <v/>
      </c>
    </row>
    <row r="264" spans="1:6">
      <c r="A264" s="10"/>
      <c r="B264" s="11"/>
      <c r="C264" s="11"/>
      <c r="D264" s="10"/>
      <c r="F264" s="13" t="str">
        <f>IF(A264='بطاقة العقد'!$B$1,ROW(),"")</f>
        <v/>
      </c>
    </row>
    <row r="265" spans="1:6">
      <c r="A265" s="10"/>
      <c r="B265" s="11"/>
      <c r="C265" s="11"/>
      <c r="D265" s="10"/>
      <c r="F265" s="13" t="str">
        <f>IF(A265='بطاقة العقد'!$B$1,ROW(),"")</f>
        <v/>
      </c>
    </row>
    <row r="266" spans="1:6">
      <c r="A266" s="10"/>
      <c r="B266" s="11"/>
      <c r="C266" s="11"/>
      <c r="D266" s="10"/>
      <c r="F266" s="13" t="str">
        <f>IF(A266='بطاقة العقد'!$B$1,ROW(),"")</f>
        <v/>
      </c>
    </row>
    <row r="267" spans="1:6">
      <c r="A267" s="10"/>
      <c r="B267" s="11"/>
      <c r="C267" s="11"/>
      <c r="D267" s="10"/>
      <c r="F267" s="13" t="str">
        <f>IF(A267='بطاقة العقد'!$B$1,ROW(),"")</f>
        <v/>
      </c>
    </row>
    <row r="268" spans="1:6">
      <c r="A268" s="10"/>
      <c r="B268" s="11"/>
      <c r="C268" s="11"/>
      <c r="D268" s="10"/>
      <c r="F268" s="13" t="str">
        <f>IF(A268='بطاقة العقد'!$B$1,ROW(),"")</f>
        <v/>
      </c>
    </row>
    <row r="269" spans="1:6">
      <c r="A269" s="10"/>
      <c r="B269" s="11"/>
      <c r="C269" s="11"/>
      <c r="D269" s="10"/>
      <c r="F269" s="13" t="str">
        <f>IF(A269='بطاقة العقد'!$B$1,ROW(),"")</f>
        <v/>
      </c>
    </row>
    <row r="270" spans="1:6">
      <c r="A270" s="10"/>
      <c r="B270" s="11"/>
      <c r="C270" s="11"/>
      <c r="D270" s="10"/>
      <c r="F270" s="13" t="str">
        <f>IF(A270='بطاقة العقد'!$B$1,ROW(),"")</f>
        <v/>
      </c>
    </row>
    <row r="271" spans="1:6">
      <c r="A271" s="10"/>
      <c r="B271" s="11"/>
      <c r="C271" s="11"/>
      <c r="D271" s="10"/>
      <c r="F271" s="13" t="str">
        <f>IF(A271='بطاقة العقد'!$B$1,ROW(),"")</f>
        <v/>
      </c>
    </row>
    <row r="272" spans="1:6">
      <c r="A272" s="10"/>
      <c r="B272" s="11"/>
      <c r="C272" s="11"/>
      <c r="D272" s="10"/>
      <c r="F272" s="13" t="str">
        <f>IF(A272='بطاقة العقد'!$B$1,ROW(),"")</f>
        <v/>
      </c>
    </row>
    <row r="273" spans="1:6">
      <c r="A273" s="10"/>
      <c r="B273" s="11"/>
      <c r="C273" s="11"/>
      <c r="D273" s="10"/>
      <c r="F273" s="13" t="str">
        <f>IF(A273='بطاقة العقد'!$B$1,ROW(),"")</f>
        <v/>
      </c>
    </row>
    <row r="274" spans="1:6">
      <c r="A274" s="10"/>
      <c r="B274" s="11"/>
      <c r="C274" s="11"/>
      <c r="D274" s="10"/>
      <c r="F274" s="13" t="str">
        <f>IF(A274='بطاقة العقد'!$B$1,ROW(),"")</f>
        <v/>
      </c>
    </row>
    <row r="275" spans="1:6">
      <c r="A275" s="10"/>
      <c r="B275" s="11"/>
      <c r="C275" s="11"/>
      <c r="D275" s="10"/>
      <c r="F275" s="13" t="str">
        <f>IF(A275='بطاقة العقد'!$B$1,ROW(),"")</f>
        <v/>
      </c>
    </row>
    <row r="276" spans="1:6">
      <c r="A276" s="10"/>
      <c r="B276" s="11"/>
      <c r="C276" s="11"/>
      <c r="D276" s="10"/>
      <c r="F276" s="13" t="str">
        <f>IF(A276='بطاقة العقد'!$B$1,ROW(),"")</f>
        <v/>
      </c>
    </row>
    <row r="277" spans="1:6">
      <c r="A277" s="10"/>
      <c r="B277" s="11"/>
      <c r="C277" s="11"/>
      <c r="D277" s="10"/>
      <c r="F277" s="13" t="str">
        <f>IF(A277='بطاقة العقد'!$B$1,ROW(),"")</f>
        <v/>
      </c>
    </row>
    <row r="278" spans="1:6">
      <c r="A278" s="10"/>
      <c r="B278" s="11"/>
      <c r="C278" s="11"/>
      <c r="D278" s="10"/>
      <c r="F278" s="13" t="str">
        <f>IF(A278='بطاقة العقد'!$B$1,ROW(),"")</f>
        <v/>
      </c>
    </row>
    <row r="279" spans="1:6">
      <c r="A279" s="10"/>
      <c r="B279" s="11"/>
      <c r="C279" s="11"/>
      <c r="D279" s="10"/>
      <c r="F279" s="13" t="str">
        <f>IF(A279='بطاقة العقد'!$B$1,ROW(),"")</f>
        <v/>
      </c>
    </row>
    <row r="280" spans="1:6">
      <c r="A280" s="10"/>
      <c r="B280" s="11"/>
      <c r="C280" s="11"/>
      <c r="D280" s="10"/>
      <c r="F280" s="13" t="str">
        <f>IF(A280='بطاقة العقد'!$B$1,ROW(),"")</f>
        <v/>
      </c>
    </row>
    <row r="281" spans="1:6">
      <c r="A281" s="10"/>
      <c r="B281" s="11"/>
      <c r="C281" s="11"/>
      <c r="D281" s="10"/>
      <c r="F281" s="13" t="str">
        <f>IF(A281='بطاقة العقد'!$B$1,ROW(),"")</f>
        <v/>
      </c>
    </row>
    <row r="282" spans="1:6">
      <c r="A282" s="10"/>
      <c r="B282" s="11"/>
      <c r="C282" s="11"/>
      <c r="D282" s="10"/>
      <c r="F282" s="13" t="str">
        <f>IF(A282='بطاقة العقد'!$B$1,ROW(),"")</f>
        <v/>
      </c>
    </row>
    <row r="283" spans="1:6">
      <c r="A283" s="10"/>
      <c r="B283" s="11"/>
      <c r="C283" s="11"/>
      <c r="D283" s="10"/>
      <c r="F283" s="13" t="str">
        <f>IF(A283='بطاقة العقد'!$B$1,ROW(),"")</f>
        <v/>
      </c>
    </row>
    <row r="284" spans="1:6">
      <c r="A284" s="10"/>
      <c r="B284" s="11"/>
      <c r="C284" s="11"/>
      <c r="D284" s="10"/>
      <c r="F284" s="13" t="str">
        <f>IF(A284='بطاقة العقد'!$B$1,ROW(),"")</f>
        <v/>
      </c>
    </row>
    <row r="285" spans="1:6">
      <c r="A285" s="10"/>
      <c r="B285" s="11"/>
      <c r="C285" s="11"/>
      <c r="D285" s="10"/>
      <c r="F285" s="13" t="str">
        <f>IF(A285='بطاقة العقد'!$B$1,ROW(),"")</f>
        <v/>
      </c>
    </row>
    <row r="286" spans="1:6">
      <c r="A286" s="10"/>
      <c r="B286" s="11"/>
      <c r="C286" s="11"/>
      <c r="D286" s="10"/>
      <c r="F286" s="13" t="str">
        <f>IF(A286='بطاقة العقد'!$B$1,ROW(),"")</f>
        <v/>
      </c>
    </row>
    <row r="287" spans="1:6">
      <c r="A287" s="10"/>
      <c r="B287" s="11"/>
      <c r="C287" s="11"/>
      <c r="D287" s="10"/>
      <c r="F287" s="13" t="str">
        <f>IF(A287='بطاقة العقد'!$B$1,ROW(),"")</f>
        <v/>
      </c>
    </row>
    <row r="288" spans="1:6">
      <c r="A288" s="10"/>
      <c r="B288" s="11"/>
      <c r="C288" s="11"/>
      <c r="D288" s="10"/>
      <c r="F288" s="13" t="str">
        <f>IF(A288='بطاقة العقد'!$B$1,ROW(),"")</f>
        <v/>
      </c>
    </row>
    <row r="289" spans="1:6">
      <c r="A289" s="10"/>
      <c r="B289" s="11"/>
      <c r="C289" s="11"/>
      <c r="D289" s="10"/>
      <c r="F289" s="13" t="str">
        <f>IF(A289='بطاقة العقد'!$B$1,ROW(),"")</f>
        <v/>
      </c>
    </row>
    <row r="290" spans="1:6">
      <c r="A290" s="10"/>
      <c r="B290" s="11"/>
      <c r="C290" s="11"/>
      <c r="D290" s="10"/>
      <c r="F290" s="13" t="str">
        <f>IF(A290='بطاقة العقد'!$B$1,ROW(),"")</f>
        <v/>
      </c>
    </row>
    <row r="291" spans="1:6">
      <c r="A291" s="10"/>
      <c r="B291" s="11"/>
      <c r="C291" s="11"/>
      <c r="D291" s="10"/>
      <c r="F291" s="13" t="str">
        <f>IF(A291='بطاقة العقد'!$B$1,ROW(),"")</f>
        <v/>
      </c>
    </row>
    <row r="292" spans="1:6">
      <c r="A292" s="10"/>
      <c r="B292" s="11"/>
      <c r="C292" s="11"/>
      <c r="D292" s="10"/>
      <c r="F292" s="13" t="str">
        <f>IF(A292='بطاقة العقد'!$B$1,ROW(),"")</f>
        <v/>
      </c>
    </row>
    <row r="293" spans="1:6">
      <c r="A293" s="10"/>
      <c r="B293" s="11"/>
      <c r="C293" s="11"/>
      <c r="D293" s="10"/>
      <c r="F293" s="13" t="str">
        <f>IF(A293='بطاقة العقد'!$B$1,ROW(),"")</f>
        <v/>
      </c>
    </row>
    <row r="294" spans="1:6">
      <c r="A294" s="10"/>
      <c r="B294" s="11"/>
      <c r="C294" s="11"/>
      <c r="D294" s="10"/>
      <c r="F294" s="13" t="str">
        <f>IF(A294='بطاقة العقد'!$B$1,ROW(),"")</f>
        <v/>
      </c>
    </row>
    <row r="295" spans="1:6">
      <c r="A295" s="10"/>
      <c r="B295" s="11"/>
      <c r="C295" s="11"/>
      <c r="D295" s="10"/>
      <c r="F295" s="13" t="str">
        <f>IF(A295='بطاقة العقد'!$B$1,ROW(),"")</f>
        <v/>
      </c>
    </row>
    <row r="296" spans="1:6">
      <c r="A296" s="10"/>
      <c r="B296" s="11"/>
      <c r="C296" s="11"/>
      <c r="D296" s="10"/>
      <c r="F296" s="13" t="str">
        <f>IF(A296='بطاقة العقد'!$B$1,ROW(),"")</f>
        <v/>
      </c>
    </row>
    <row r="297" spans="1:6">
      <c r="A297" s="10"/>
      <c r="B297" s="11"/>
      <c r="C297" s="11"/>
      <c r="D297" s="10"/>
      <c r="F297" s="13" t="str">
        <f>IF(A297='بطاقة العقد'!$B$1,ROW(),"")</f>
        <v/>
      </c>
    </row>
    <row r="298" spans="1:6">
      <c r="A298" s="10"/>
      <c r="B298" s="11"/>
      <c r="C298" s="11"/>
      <c r="D298" s="10"/>
      <c r="F298" s="13" t="str">
        <f>IF(A298='بطاقة العقد'!$B$1,ROW(),"")</f>
        <v/>
      </c>
    </row>
    <row r="299" spans="1:6">
      <c r="A299" s="10"/>
      <c r="B299" s="11"/>
      <c r="C299" s="11"/>
      <c r="D299" s="10"/>
      <c r="F299" s="13" t="str">
        <f>IF(A299='بطاقة العقد'!$B$1,ROW(),"")</f>
        <v/>
      </c>
    </row>
    <row r="300" spans="1:6">
      <c r="A300" s="10"/>
      <c r="B300" s="11"/>
      <c r="C300" s="11"/>
      <c r="D300" s="10"/>
      <c r="F300" s="13" t="str">
        <f>IF(A300='بطاقة العقد'!$B$1,ROW(),"")</f>
        <v/>
      </c>
    </row>
    <row r="301" spans="1:6">
      <c r="A301" s="10"/>
      <c r="B301" s="11"/>
      <c r="C301" s="11"/>
      <c r="D301" s="10"/>
      <c r="F301" s="13" t="str">
        <f>IF(A301='بطاقة العقد'!$B$1,ROW(),"")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1"/>
  <sheetViews>
    <sheetView rightToLeft="1" zoomScaleNormal="100" workbookViewId="0">
      <pane ySplit="1" topLeftCell="A2" activePane="bottomLeft" state="frozen"/>
      <selection pane="bottomLeft"/>
    </sheetView>
  </sheetViews>
  <sheetFormatPr defaultColWidth="8.6640625" defaultRowHeight="14.4"/>
  <cols>
    <col min="1" max="1" width="16" customWidth="1"/>
    <col min="2" max="3" width="18" customWidth="1"/>
    <col min="4" max="4" width="36" customWidth="1"/>
    <col min="5" max="5" width="3" customWidth="1"/>
    <col min="6" max="6" width="14" customWidth="1"/>
  </cols>
  <sheetData>
    <row r="1" spans="1:6">
      <c r="A1" s="9" t="s">
        <v>17</v>
      </c>
      <c r="B1" s="9" t="s">
        <v>92</v>
      </c>
      <c r="C1" s="9" t="s">
        <v>93</v>
      </c>
      <c r="D1" s="9" t="s">
        <v>88</v>
      </c>
      <c r="E1" s="9"/>
      <c r="F1" s="9" t="s">
        <v>89</v>
      </c>
    </row>
    <row r="2" spans="1:6">
      <c r="A2" s="10" t="s">
        <v>40</v>
      </c>
      <c r="B2" s="10" t="s">
        <v>94</v>
      </c>
      <c r="C2" s="11">
        <v>45606</v>
      </c>
      <c r="D2" s="10" t="s">
        <v>95</v>
      </c>
      <c r="F2" s="13" t="str">
        <f>IF(A2='بطاقة العقد'!$B$1,ROW(),"")</f>
        <v/>
      </c>
    </row>
    <row r="3" spans="1:6">
      <c r="A3" s="10" t="s">
        <v>55</v>
      </c>
      <c r="B3" s="10" t="s">
        <v>96</v>
      </c>
      <c r="C3" s="11">
        <v>46206</v>
      </c>
      <c r="D3" s="10" t="s">
        <v>97</v>
      </c>
      <c r="F3" s="13">
        <f>IF(A3='بطاقة العقد'!$B$1,ROW(),"")</f>
        <v>3</v>
      </c>
    </row>
    <row r="4" spans="1:6">
      <c r="A4" s="10"/>
      <c r="B4" s="10"/>
      <c r="C4" s="11"/>
      <c r="D4" s="10"/>
      <c r="F4" s="13" t="str">
        <f>IF(A4='بطاقة العقد'!$B$1,ROW(),"")</f>
        <v/>
      </c>
    </row>
    <row r="5" spans="1:6">
      <c r="A5" s="10"/>
      <c r="B5" s="10"/>
      <c r="C5" s="11"/>
      <c r="D5" s="10"/>
      <c r="F5" s="13" t="str">
        <f>IF(A5='بطاقة العقد'!$B$1,ROW(),"")</f>
        <v/>
      </c>
    </row>
    <row r="6" spans="1:6">
      <c r="A6" s="10"/>
      <c r="B6" s="10"/>
      <c r="C6" s="11"/>
      <c r="D6" s="10"/>
      <c r="F6" s="13" t="str">
        <f>IF(A6='بطاقة العقد'!$B$1,ROW(),"")</f>
        <v/>
      </c>
    </row>
    <row r="7" spans="1:6">
      <c r="A7" s="10"/>
      <c r="B7" s="10"/>
      <c r="C7" s="11"/>
      <c r="D7" s="10"/>
      <c r="F7" s="13" t="str">
        <f>IF(A7='بطاقة العقد'!$B$1,ROW(),"")</f>
        <v/>
      </c>
    </row>
    <row r="8" spans="1:6">
      <c r="A8" s="10"/>
      <c r="B8" s="10"/>
      <c r="C8" s="11"/>
      <c r="D8" s="10"/>
      <c r="F8" s="13" t="str">
        <f>IF(A8='بطاقة العقد'!$B$1,ROW(),"")</f>
        <v/>
      </c>
    </row>
    <row r="9" spans="1:6">
      <c r="A9" s="10"/>
      <c r="B9" s="10"/>
      <c r="C9" s="11"/>
      <c r="D9" s="10"/>
      <c r="F9" s="13" t="str">
        <f>IF(A9='بطاقة العقد'!$B$1,ROW(),"")</f>
        <v/>
      </c>
    </row>
    <row r="10" spans="1:6">
      <c r="A10" s="10"/>
      <c r="B10" s="10"/>
      <c r="C10" s="11"/>
      <c r="D10" s="10"/>
      <c r="F10" s="13" t="str">
        <f>IF(A10='بطاقة العقد'!$B$1,ROW(),"")</f>
        <v/>
      </c>
    </row>
    <row r="11" spans="1:6">
      <c r="A11" s="10"/>
      <c r="B11" s="10"/>
      <c r="C11" s="11"/>
      <c r="D11" s="10"/>
      <c r="F11" s="13" t="str">
        <f>IF(A11='بطاقة العقد'!$B$1,ROW(),"")</f>
        <v/>
      </c>
    </row>
    <row r="12" spans="1:6">
      <c r="A12" s="10"/>
      <c r="B12" s="10"/>
      <c r="C12" s="11"/>
      <c r="D12" s="10"/>
      <c r="F12" s="13" t="str">
        <f>IF(A12='بطاقة العقد'!$B$1,ROW(),"")</f>
        <v/>
      </c>
    </row>
    <row r="13" spans="1:6">
      <c r="A13" s="10"/>
      <c r="B13" s="10"/>
      <c r="C13" s="11"/>
      <c r="D13" s="10"/>
      <c r="F13" s="13" t="str">
        <f>IF(A13='بطاقة العقد'!$B$1,ROW(),"")</f>
        <v/>
      </c>
    </row>
    <row r="14" spans="1:6">
      <c r="A14" s="10"/>
      <c r="B14" s="10"/>
      <c r="C14" s="11"/>
      <c r="D14" s="10"/>
      <c r="F14" s="13" t="str">
        <f>IF(A14='بطاقة العقد'!$B$1,ROW(),"")</f>
        <v/>
      </c>
    </row>
    <row r="15" spans="1:6">
      <c r="A15" s="10"/>
      <c r="B15" s="10"/>
      <c r="C15" s="11"/>
      <c r="D15" s="10"/>
      <c r="F15" s="13" t="str">
        <f>IF(A15='بطاقة العقد'!$B$1,ROW(),"")</f>
        <v/>
      </c>
    </row>
    <row r="16" spans="1:6">
      <c r="A16" s="10"/>
      <c r="B16" s="10"/>
      <c r="C16" s="11"/>
      <c r="D16" s="10"/>
      <c r="F16" s="13" t="str">
        <f>IF(A16='بطاقة العقد'!$B$1,ROW(),"")</f>
        <v/>
      </c>
    </row>
    <row r="17" spans="1:6">
      <c r="A17" s="10"/>
      <c r="B17" s="10"/>
      <c r="C17" s="11"/>
      <c r="D17" s="10"/>
      <c r="F17" s="13" t="str">
        <f>IF(A17='بطاقة العقد'!$B$1,ROW(),"")</f>
        <v/>
      </c>
    </row>
    <row r="18" spans="1:6">
      <c r="A18" s="10"/>
      <c r="B18" s="10"/>
      <c r="C18" s="11"/>
      <c r="D18" s="10"/>
      <c r="F18" s="13" t="str">
        <f>IF(A18='بطاقة العقد'!$B$1,ROW(),"")</f>
        <v/>
      </c>
    </row>
    <row r="19" spans="1:6">
      <c r="A19" s="10"/>
      <c r="B19" s="10"/>
      <c r="C19" s="11"/>
      <c r="D19" s="10"/>
      <c r="F19" s="13" t="str">
        <f>IF(A19='بطاقة العقد'!$B$1,ROW(),"")</f>
        <v/>
      </c>
    </row>
    <row r="20" spans="1:6">
      <c r="A20" s="10"/>
      <c r="B20" s="10"/>
      <c r="C20" s="11"/>
      <c r="D20" s="10"/>
      <c r="F20" s="13" t="str">
        <f>IF(A20='بطاقة العقد'!$B$1,ROW(),"")</f>
        <v/>
      </c>
    </row>
    <row r="21" spans="1:6">
      <c r="A21" s="10"/>
      <c r="B21" s="10"/>
      <c r="C21" s="11"/>
      <c r="D21" s="10"/>
      <c r="F21" s="13" t="str">
        <f>IF(A21='بطاقة العقد'!$B$1,ROW(),"")</f>
        <v/>
      </c>
    </row>
    <row r="22" spans="1:6">
      <c r="A22" s="10"/>
      <c r="B22" s="10"/>
      <c r="C22" s="11"/>
      <c r="D22" s="10"/>
      <c r="F22" s="13" t="str">
        <f>IF(A22='بطاقة العقد'!$B$1,ROW(),"")</f>
        <v/>
      </c>
    </row>
    <row r="23" spans="1:6">
      <c r="A23" s="10"/>
      <c r="B23" s="10"/>
      <c r="C23" s="11"/>
      <c r="D23" s="10"/>
      <c r="F23" s="13" t="str">
        <f>IF(A23='بطاقة العقد'!$B$1,ROW(),"")</f>
        <v/>
      </c>
    </row>
    <row r="24" spans="1:6">
      <c r="A24" s="10"/>
      <c r="B24" s="10"/>
      <c r="C24" s="11"/>
      <c r="D24" s="10"/>
      <c r="F24" s="13" t="str">
        <f>IF(A24='بطاقة العقد'!$B$1,ROW(),"")</f>
        <v/>
      </c>
    </row>
    <row r="25" spans="1:6">
      <c r="A25" s="10"/>
      <c r="B25" s="10"/>
      <c r="C25" s="11"/>
      <c r="D25" s="10"/>
      <c r="F25" s="13" t="str">
        <f>IF(A25='بطاقة العقد'!$B$1,ROW(),"")</f>
        <v/>
      </c>
    </row>
    <row r="26" spans="1:6">
      <c r="A26" s="10"/>
      <c r="B26" s="10"/>
      <c r="C26" s="11"/>
      <c r="D26" s="10"/>
      <c r="F26" s="13" t="str">
        <f>IF(A26='بطاقة العقد'!$B$1,ROW(),"")</f>
        <v/>
      </c>
    </row>
    <row r="27" spans="1:6">
      <c r="A27" s="10"/>
      <c r="B27" s="10"/>
      <c r="C27" s="11"/>
      <c r="D27" s="10"/>
      <c r="F27" s="13" t="str">
        <f>IF(A27='بطاقة العقد'!$B$1,ROW(),"")</f>
        <v/>
      </c>
    </row>
    <row r="28" spans="1:6">
      <c r="A28" s="10"/>
      <c r="B28" s="10"/>
      <c r="C28" s="11"/>
      <c r="D28" s="10"/>
      <c r="F28" s="13" t="str">
        <f>IF(A28='بطاقة العقد'!$B$1,ROW(),"")</f>
        <v/>
      </c>
    </row>
    <row r="29" spans="1:6">
      <c r="A29" s="10"/>
      <c r="B29" s="10"/>
      <c r="C29" s="11"/>
      <c r="D29" s="10"/>
      <c r="F29" s="13" t="str">
        <f>IF(A29='بطاقة العقد'!$B$1,ROW(),"")</f>
        <v/>
      </c>
    </row>
    <row r="30" spans="1:6">
      <c r="A30" s="10"/>
      <c r="B30" s="10"/>
      <c r="C30" s="11"/>
      <c r="D30" s="10"/>
      <c r="F30" s="13" t="str">
        <f>IF(A30='بطاقة العقد'!$B$1,ROW(),"")</f>
        <v/>
      </c>
    </row>
    <row r="31" spans="1:6">
      <c r="A31" s="10"/>
      <c r="B31" s="10"/>
      <c r="C31" s="11"/>
      <c r="D31" s="10"/>
      <c r="F31" s="13" t="str">
        <f>IF(A31='بطاقة العقد'!$B$1,ROW(),"")</f>
        <v/>
      </c>
    </row>
    <row r="32" spans="1:6">
      <c r="A32" s="10"/>
      <c r="B32" s="10"/>
      <c r="C32" s="11"/>
      <c r="D32" s="10"/>
      <c r="F32" s="13" t="str">
        <f>IF(A32='بطاقة العقد'!$B$1,ROW(),"")</f>
        <v/>
      </c>
    </row>
    <row r="33" spans="1:6">
      <c r="A33" s="10"/>
      <c r="B33" s="10"/>
      <c r="C33" s="11"/>
      <c r="D33" s="10"/>
      <c r="F33" s="13" t="str">
        <f>IF(A33='بطاقة العقد'!$B$1,ROW(),"")</f>
        <v/>
      </c>
    </row>
    <row r="34" spans="1:6">
      <c r="A34" s="10"/>
      <c r="B34" s="10"/>
      <c r="C34" s="11"/>
      <c r="D34" s="10"/>
      <c r="F34" s="13" t="str">
        <f>IF(A34='بطاقة العقد'!$B$1,ROW(),"")</f>
        <v/>
      </c>
    </row>
    <row r="35" spans="1:6">
      <c r="A35" s="10"/>
      <c r="B35" s="10"/>
      <c r="C35" s="11"/>
      <c r="D35" s="10"/>
      <c r="F35" s="13" t="str">
        <f>IF(A35='بطاقة العقد'!$B$1,ROW(),"")</f>
        <v/>
      </c>
    </row>
    <row r="36" spans="1:6">
      <c r="A36" s="10"/>
      <c r="B36" s="10"/>
      <c r="C36" s="11"/>
      <c r="D36" s="10"/>
      <c r="F36" s="13" t="str">
        <f>IF(A36='بطاقة العقد'!$B$1,ROW(),"")</f>
        <v/>
      </c>
    </row>
    <row r="37" spans="1:6">
      <c r="A37" s="10"/>
      <c r="B37" s="10"/>
      <c r="C37" s="11"/>
      <c r="D37" s="10"/>
      <c r="F37" s="13" t="str">
        <f>IF(A37='بطاقة العقد'!$B$1,ROW(),"")</f>
        <v/>
      </c>
    </row>
    <row r="38" spans="1:6">
      <c r="A38" s="10"/>
      <c r="B38" s="10"/>
      <c r="C38" s="11"/>
      <c r="D38" s="10"/>
      <c r="F38" s="13" t="str">
        <f>IF(A38='بطاقة العقد'!$B$1,ROW(),"")</f>
        <v/>
      </c>
    </row>
    <row r="39" spans="1:6">
      <c r="A39" s="10"/>
      <c r="B39" s="10"/>
      <c r="C39" s="11"/>
      <c r="D39" s="10"/>
      <c r="F39" s="13" t="str">
        <f>IF(A39='بطاقة العقد'!$B$1,ROW(),"")</f>
        <v/>
      </c>
    </row>
    <row r="40" spans="1:6">
      <c r="A40" s="10"/>
      <c r="B40" s="10"/>
      <c r="C40" s="11"/>
      <c r="D40" s="10"/>
      <c r="F40" s="13" t="str">
        <f>IF(A40='بطاقة العقد'!$B$1,ROW(),"")</f>
        <v/>
      </c>
    </row>
    <row r="41" spans="1:6">
      <c r="A41" s="10"/>
      <c r="B41" s="10"/>
      <c r="C41" s="11"/>
      <c r="D41" s="10"/>
      <c r="F41" s="13" t="str">
        <f>IF(A41='بطاقة العقد'!$B$1,ROW(),"")</f>
        <v/>
      </c>
    </row>
    <row r="42" spans="1:6">
      <c r="A42" s="10"/>
      <c r="B42" s="10"/>
      <c r="C42" s="11"/>
      <c r="D42" s="10"/>
      <c r="F42" s="13" t="str">
        <f>IF(A42='بطاقة العقد'!$B$1,ROW(),"")</f>
        <v/>
      </c>
    </row>
    <row r="43" spans="1:6">
      <c r="A43" s="10"/>
      <c r="B43" s="10"/>
      <c r="C43" s="11"/>
      <c r="D43" s="10"/>
      <c r="F43" s="13" t="str">
        <f>IF(A43='بطاقة العقد'!$B$1,ROW(),"")</f>
        <v/>
      </c>
    </row>
    <row r="44" spans="1:6">
      <c r="A44" s="10"/>
      <c r="B44" s="10"/>
      <c r="C44" s="11"/>
      <c r="D44" s="10"/>
      <c r="F44" s="13" t="str">
        <f>IF(A44='بطاقة العقد'!$B$1,ROW(),"")</f>
        <v/>
      </c>
    </row>
    <row r="45" spans="1:6">
      <c r="A45" s="10"/>
      <c r="B45" s="10"/>
      <c r="C45" s="11"/>
      <c r="D45" s="10"/>
      <c r="F45" s="13" t="str">
        <f>IF(A45='بطاقة العقد'!$B$1,ROW(),"")</f>
        <v/>
      </c>
    </row>
    <row r="46" spans="1:6">
      <c r="A46" s="10"/>
      <c r="B46" s="10"/>
      <c r="C46" s="11"/>
      <c r="D46" s="10"/>
      <c r="F46" s="13" t="str">
        <f>IF(A46='بطاقة العقد'!$B$1,ROW(),"")</f>
        <v/>
      </c>
    </row>
    <row r="47" spans="1:6">
      <c r="A47" s="10"/>
      <c r="B47" s="10"/>
      <c r="C47" s="11"/>
      <c r="D47" s="10"/>
      <c r="F47" s="13" t="str">
        <f>IF(A47='بطاقة العقد'!$B$1,ROW(),"")</f>
        <v/>
      </c>
    </row>
    <row r="48" spans="1:6">
      <c r="A48" s="10"/>
      <c r="B48" s="10"/>
      <c r="C48" s="11"/>
      <c r="D48" s="10"/>
      <c r="F48" s="13" t="str">
        <f>IF(A48='بطاقة العقد'!$B$1,ROW(),"")</f>
        <v/>
      </c>
    </row>
    <row r="49" spans="1:6">
      <c r="A49" s="10"/>
      <c r="B49" s="10"/>
      <c r="C49" s="11"/>
      <c r="D49" s="10"/>
      <c r="F49" s="13" t="str">
        <f>IF(A49='بطاقة العقد'!$B$1,ROW(),"")</f>
        <v/>
      </c>
    </row>
    <row r="50" spans="1:6">
      <c r="A50" s="10"/>
      <c r="B50" s="10"/>
      <c r="C50" s="11"/>
      <c r="D50" s="10"/>
      <c r="F50" s="13" t="str">
        <f>IF(A50='بطاقة العقد'!$B$1,ROW(),"")</f>
        <v/>
      </c>
    </row>
    <row r="51" spans="1:6">
      <c r="A51" s="10"/>
      <c r="B51" s="10"/>
      <c r="C51" s="11"/>
      <c r="D51" s="10"/>
      <c r="F51" s="13" t="str">
        <f>IF(A51='بطاقة العقد'!$B$1,ROW(),"")</f>
        <v/>
      </c>
    </row>
    <row r="52" spans="1:6">
      <c r="A52" s="10"/>
      <c r="B52" s="10"/>
      <c r="C52" s="11"/>
      <c r="D52" s="10"/>
      <c r="F52" s="13" t="str">
        <f>IF(A52='بطاقة العقد'!$B$1,ROW(),"")</f>
        <v/>
      </c>
    </row>
    <row r="53" spans="1:6">
      <c r="A53" s="10"/>
      <c r="B53" s="10"/>
      <c r="C53" s="11"/>
      <c r="D53" s="10"/>
      <c r="F53" s="13" t="str">
        <f>IF(A53='بطاقة العقد'!$B$1,ROW(),"")</f>
        <v/>
      </c>
    </row>
    <row r="54" spans="1:6">
      <c r="A54" s="10"/>
      <c r="B54" s="10"/>
      <c r="C54" s="11"/>
      <c r="D54" s="10"/>
      <c r="F54" s="13" t="str">
        <f>IF(A54='بطاقة العقد'!$B$1,ROW(),"")</f>
        <v/>
      </c>
    </row>
    <row r="55" spans="1:6">
      <c r="A55" s="10"/>
      <c r="B55" s="10"/>
      <c r="C55" s="11"/>
      <c r="D55" s="10"/>
      <c r="F55" s="13" t="str">
        <f>IF(A55='بطاقة العقد'!$B$1,ROW(),"")</f>
        <v/>
      </c>
    </row>
    <row r="56" spans="1:6">
      <c r="A56" s="10"/>
      <c r="B56" s="10"/>
      <c r="C56" s="11"/>
      <c r="D56" s="10"/>
      <c r="F56" s="13" t="str">
        <f>IF(A56='بطاقة العقد'!$B$1,ROW(),"")</f>
        <v/>
      </c>
    </row>
    <row r="57" spans="1:6">
      <c r="A57" s="10"/>
      <c r="B57" s="10"/>
      <c r="C57" s="11"/>
      <c r="D57" s="10"/>
      <c r="F57" s="13" t="str">
        <f>IF(A57='بطاقة العقد'!$B$1,ROW(),"")</f>
        <v/>
      </c>
    </row>
    <row r="58" spans="1:6">
      <c r="A58" s="10"/>
      <c r="B58" s="10"/>
      <c r="C58" s="11"/>
      <c r="D58" s="10"/>
      <c r="F58" s="13" t="str">
        <f>IF(A58='بطاقة العقد'!$B$1,ROW(),"")</f>
        <v/>
      </c>
    </row>
    <row r="59" spans="1:6">
      <c r="A59" s="10"/>
      <c r="B59" s="10"/>
      <c r="C59" s="11"/>
      <c r="D59" s="10"/>
      <c r="F59" s="13" t="str">
        <f>IF(A59='بطاقة العقد'!$B$1,ROW(),"")</f>
        <v/>
      </c>
    </row>
    <row r="60" spans="1:6">
      <c r="A60" s="10"/>
      <c r="B60" s="10"/>
      <c r="C60" s="11"/>
      <c r="D60" s="10"/>
      <c r="F60" s="13" t="str">
        <f>IF(A60='بطاقة العقد'!$B$1,ROW(),"")</f>
        <v/>
      </c>
    </row>
    <row r="61" spans="1:6">
      <c r="A61" s="10"/>
      <c r="B61" s="10"/>
      <c r="C61" s="11"/>
      <c r="D61" s="10"/>
      <c r="F61" s="13" t="str">
        <f>IF(A61='بطاقة العقد'!$B$1,ROW(),"")</f>
        <v/>
      </c>
    </row>
    <row r="62" spans="1:6">
      <c r="A62" s="10"/>
      <c r="B62" s="10"/>
      <c r="C62" s="11"/>
      <c r="D62" s="10"/>
      <c r="F62" s="13" t="str">
        <f>IF(A62='بطاقة العقد'!$B$1,ROW(),"")</f>
        <v/>
      </c>
    </row>
    <row r="63" spans="1:6">
      <c r="A63" s="10"/>
      <c r="B63" s="10"/>
      <c r="C63" s="11"/>
      <c r="D63" s="10"/>
      <c r="F63" s="13" t="str">
        <f>IF(A63='بطاقة العقد'!$B$1,ROW(),"")</f>
        <v/>
      </c>
    </row>
    <row r="64" spans="1:6">
      <c r="A64" s="10"/>
      <c r="B64" s="10"/>
      <c r="C64" s="11"/>
      <c r="D64" s="10"/>
      <c r="F64" s="13" t="str">
        <f>IF(A64='بطاقة العقد'!$B$1,ROW(),"")</f>
        <v/>
      </c>
    </row>
    <row r="65" spans="1:6">
      <c r="A65" s="10"/>
      <c r="B65" s="10"/>
      <c r="C65" s="11"/>
      <c r="D65" s="10"/>
      <c r="F65" s="13" t="str">
        <f>IF(A65='بطاقة العقد'!$B$1,ROW(),"")</f>
        <v/>
      </c>
    </row>
    <row r="66" spans="1:6">
      <c r="A66" s="10"/>
      <c r="B66" s="10"/>
      <c r="C66" s="11"/>
      <c r="D66" s="10"/>
      <c r="F66" s="13" t="str">
        <f>IF(A66='بطاقة العقد'!$B$1,ROW(),"")</f>
        <v/>
      </c>
    </row>
    <row r="67" spans="1:6">
      <c r="A67" s="10"/>
      <c r="B67" s="10"/>
      <c r="C67" s="11"/>
      <c r="D67" s="10"/>
      <c r="F67" s="13" t="str">
        <f>IF(A67='بطاقة العقد'!$B$1,ROW(),"")</f>
        <v/>
      </c>
    </row>
    <row r="68" spans="1:6">
      <c r="A68" s="10"/>
      <c r="B68" s="10"/>
      <c r="C68" s="11"/>
      <c r="D68" s="10"/>
      <c r="F68" s="13" t="str">
        <f>IF(A68='بطاقة العقد'!$B$1,ROW(),"")</f>
        <v/>
      </c>
    </row>
    <row r="69" spans="1:6">
      <c r="A69" s="10"/>
      <c r="B69" s="10"/>
      <c r="C69" s="11"/>
      <c r="D69" s="10"/>
      <c r="F69" s="13" t="str">
        <f>IF(A69='بطاقة العقد'!$B$1,ROW(),"")</f>
        <v/>
      </c>
    </row>
    <row r="70" spans="1:6">
      <c r="A70" s="10"/>
      <c r="B70" s="10"/>
      <c r="C70" s="11"/>
      <c r="D70" s="10"/>
      <c r="F70" s="13" t="str">
        <f>IF(A70='بطاقة العقد'!$B$1,ROW(),"")</f>
        <v/>
      </c>
    </row>
    <row r="71" spans="1:6">
      <c r="A71" s="10"/>
      <c r="B71" s="10"/>
      <c r="C71" s="11"/>
      <c r="D71" s="10"/>
      <c r="F71" s="13" t="str">
        <f>IF(A71='بطاقة العقد'!$B$1,ROW(),"")</f>
        <v/>
      </c>
    </row>
    <row r="72" spans="1:6">
      <c r="A72" s="10"/>
      <c r="B72" s="10"/>
      <c r="C72" s="11"/>
      <c r="D72" s="10"/>
      <c r="F72" s="13" t="str">
        <f>IF(A72='بطاقة العقد'!$B$1,ROW(),"")</f>
        <v/>
      </c>
    </row>
    <row r="73" spans="1:6">
      <c r="A73" s="10"/>
      <c r="B73" s="10"/>
      <c r="C73" s="11"/>
      <c r="D73" s="10"/>
      <c r="F73" s="13" t="str">
        <f>IF(A73='بطاقة العقد'!$B$1,ROW(),"")</f>
        <v/>
      </c>
    </row>
    <row r="74" spans="1:6">
      <c r="A74" s="10"/>
      <c r="B74" s="10"/>
      <c r="C74" s="11"/>
      <c r="D74" s="10"/>
      <c r="F74" s="13" t="str">
        <f>IF(A74='بطاقة العقد'!$B$1,ROW(),"")</f>
        <v/>
      </c>
    </row>
    <row r="75" spans="1:6">
      <c r="A75" s="10"/>
      <c r="B75" s="10"/>
      <c r="C75" s="11"/>
      <c r="D75" s="10"/>
      <c r="F75" s="13" t="str">
        <f>IF(A75='بطاقة العقد'!$B$1,ROW(),"")</f>
        <v/>
      </c>
    </row>
    <row r="76" spans="1:6">
      <c r="A76" s="10"/>
      <c r="B76" s="10"/>
      <c r="C76" s="11"/>
      <c r="D76" s="10"/>
      <c r="F76" s="13" t="str">
        <f>IF(A76='بطاقة العقد'!$B$1,ROW(),"")</f>
        <v/>
      </c>
    </row>
    <row r="77" spans="1:6">
      <c r="A77" s="10"/>
      <c r="B77" s="10"/>
      <c r="C77" s="11"/>
      <c r="D77" s="10"/>
      <c r="F77" s="13" t="str">
        <f>IF(A77='بطاقة العقد'!$B$1,ROW(),"")</f>
        <v/>
      </c>
    </row>
    <row r="78" spans="1:6">
      <c r="A78" s="10"/>
      <c r="B78" s="10"/>
      <c r="C78" s="11"/>
      <c r="D78" s="10"/>
      <c r="F78" s="13" t="str">
        <f>IF(A78='بطاقة العقد'!$B$1,ROW(),"")</f>
        <v/>
      </c>
    </row>
    <row r="79" spans="1:6">
      <c r="A79" s="10"/>
      <c r="B79" s="10"/>
      <c r="C79" s="11"/>
      <c r="D79" s="10"/>
      <c r="F79" s="13" t="str">
        <f>IF(A79='بطاقة العقد'!$B$1,ROW(),"")</f>
        <v/>
      </c>
    </row>
    <row r="80" spans="1:6">
      <c r="A80" s="10"/>
      <c r="B80" s="10"/>
      <c r="C80" s="11"/>
      <c r="D80" s="10"/>
      <c r="F80" s="13" t="str">
        <f>IF(A80='بطاقة العقد'!$B$1,ROW(),"")</f>
        <v/>
      </c>
    </row>
    <row r="81" spans="1:6">
      <c r="A81" s="10"/>
      <c r="B81" s="10"/>
      <c r="C81" s="11"/>
      <c r="D81" s="10"/>
      <c r="F81" s="13" t="str">
        <f>IF(A81='بطاقة العقد'!$B$1,ROW(),"")</f>
        <v/>
      </c>
    </row>
    <row r="82" spans="1:6">
      <c r="A82" s="10"/>
      <c r="B82" s="10"/>
      <c r="C82" s="11"/>
      <c r="D82" s="10"/>
      <c r="F82" s="13" t="str">
        <f>IF(A82='بطاقة العقد'!$B$1,ROW(),"")</f>
        <v/>
      </c>
    </row>
    <row r="83" spans="1:6">
      <c r="A83" s="10"/>
      <c r="B83" s="10"/>
      <c r="C83" s="11"/>
      <c r="D83" s="10"/>
      <c r="F83" s="13" t="str">
        <f>IF(A83='بطاقة العقد'!$B$1,ROW(),"")</f>
        <v/>
      </c>
    </row>
    <row r="84" spans="1:6">
      <c r="A84" s="10"/>
      <c r="B84" s="10"/>
      <c r="C84" s="11"/>
      <c r="D84" s="10"/>
      <c r="F84" s="13" t="str">
        <f>IF(A84='بطاقة العقد'!$B$1,ROW(),"")</f>
        <v/>
      </c>
    </row>
    <row r="85" spans="1:6">
      <c r="A85" s="10"/>
      <c r="B85" s="10"/>
      <c r="C85" s="11"/>
      <c r="D85" s="10"/>
      <c r="F85" s="13" t="str">
        <f>IF(A85='بطاقة العقد'!$B$1,ROW(),"")</f>
        <v/>
      </c>
    </row>
    <row r="86" spans="1:6">
      <c r="A86" s="10"/>
      <c r="B86" s="10"/>
      <c r="C86" s="11"/>
      <c r="D86" s="10"/>
      <c r="F86" s="13" t="str">
        <f>IF(A86='بطاقة العقد'!$B$1,ROW(),"")</f>
        <v/>
      </c>
    </row>
    <row r="87" spans="1:6">
      <c r="A87" s="10"/>
      <c r="B87" s="10"/>
      <c r="C87" s="11"/>
      <c r="D87" s="10"/>
      <c r="F87" s="13" t="str">
        <f>IF(A87='بطاقة العقد'!$B$1,ROW(),"")</f>
        <v/>
      </c>
    </row>
    <row r="88" spans="1:6">
      <c r="A88" s="10"/>
      <c r="B88" s="10"/>
      <c r="C88" s="11"/>
      <c r="D88" s="10"/>
      <c r="F88" s="13" t="str">
        <f>IF(A88='بطاقة العقد'!$B$1,ROW(),"")</f>
        <v/>
      </c>
    </row>
    <row r="89" spans="1:6">
      <c r="A89" s="10"/>
      <c r="B89" s="10"/>
      <c r="C89" s="11"/>
      <c r="D89" s="10"/>
      <c r="F89" s="13" t="str">
        <f>IF(A89='بطاقة العقد'!$B$1,ROW(),"")</f>
        <v/>
      </c>
    </row>
    <row r="90" spans="1:6">
      <c r="A90" s="10"/>
      <c r="B90" s="10"/>
      <c r="C90" s="11"/>
      <c r="D90" s="10"/>
      <c r="F90" s="13" t="str">
        <f>IF(A90='بطاقة العقد'!$B$1,ROW(),"")</f>
        <v/>
      </c>
    </row>
    <row r="91" spans="1:6">
      <c r="A91" s="10"/>
      <c r="B91" s="10"/>
      <c r="C91" s="11"/>
      <c r="D91" s="10"/>
      <c r="F91" s="13" t="str">
        <f>IF(A91='بطاقة العقد'!$B$1,ROW(),"")</f>
        <v/>
      </c>
    </row>
    <row r="92" spans="1:6">
      <c r="A92" s="10"/>
      <c r="B92" s="10"/>
      <c r="C92" s="11"/>
      <c r="D92" s="10"/>
      <c r="F92" s="13" t="str">
        <f>IF(A92='بطاقة العقد'!$B$1,ROW(),"")</f>
        <v/>
      </c>
    </row>
    <row r="93" spans="1:6">
      <c r="A93" s="10"/>
      <c r="B93" s="10"/>
      <c r="C93" s="11"/>
      <c r="D93" s="10"/>
      <c r="F93" s="13" t="str">
        <f>IF(A93='بطاقة العقد'!$B$1,ROW(),"")</f>
        <v/>
      </c>
    </row>
    <row r="94" spans="1:6">
      <c r="A94" s="10"/>
      <c r="B94" s="10"/>
      <c r="C94" s="11"/>
      <c r="D94" s="10"/>
      <c r="F94" s="13" t="str">
        <f>IF(A94='بطاقة العقد'!$B$1,ROW(),"")</f>
        <v/>
      </c>
    </row>
    <row r="95" spans="1:6">
      <c r="A95" s="10"/>
      <c r="B95" s="10"/>
      <c r="C95" s="11"/>
      <c r="D95" s="10"/>
      <c r="F95" s="13" t="str">
        <f>IF(A95='بطاقة العقد'!$B$1,ROW(),"")</f>
        <v/>
      </c>
    </row>
    <row r="96" spans="1:6">
      <c r="A96" s="10"/>
      <c r="B96" s="10"/>
      <c r="C96" s="11"/>
      <c r="D96" s="10"/>
      <c r="F96" s="13" t="str">
        <f>IF(A96='بطاقة العقد'!$B$1,ROW(),"")</f>
        <v/>
      </c>
    </row>
    <row r="97" spans="1:6">
      <c r="A97" s="10"/>
      <c r="B97" s="10"/>
      <c r="C97" s="11"/>
      <c r="D97" s="10"/>
      <c r="F97" s="13" t="str">
        <f>IF(A97='بطاقة العقد'!$B$1,ROW(),"")</f>
        <v/>
      </c>
    </row>
    <row r="98" spans="1:6">
      <c r="A98" s="10"/>
      <c r="B98" s="10"/>
      <c r="C98" s="11"/>
      <c r="D98" s="10"/>
      <c r="F98" s="13" t="str">
        <f>IF(A98='بطاقة العقد'!$B$1,ROW(),"")</f>
        <v/>
      </c>
    </row>
    <row r="99" spans="1:6">
      <c r="A99" s="10"/>
      <c r="B99" s="10"/>
      <c r="C99" s="11"/>
      <c r="D99" s="10"/>
      <c r="F99" s="13" t="str">
        <f>IF(A99='بطاقة العقد'!$B$1,ROW(),"")</f>
        <v/>
      </c>
    </row>
    <row r="100" spans="1:6">
      <c r="A100" s="10"/>
      <c r="B100" s="10"/>
      <c r="C100" s="11"/>
      <c r="D100" s="10"/>
      <c r="F100" s="13" t="str">
        <f>IF(A100='بطاقة العقد'!$B$1,ROW(),"")</f>
        <v/>
      </c>
    </row>
    <row r="101" spans="1:6">
      <c r="A101" s="10"/>
      <c r="B101" s="10"/>
      <c r="C101" s="11"/>
      <c r="D101" s="10"/>
      <c r="F101" s="13" t="str">
        <f>IF(A101='بطاقة العقد'!$B$1,ROW(),"")</f>
        <v/>
      </c>
    </row>
    <row r="102" spans="1:6">
      <c r="A102" s="10"/>
      <c r="B102" s="10"/>
      <c r="C102" s="11"/>
      <c r="D102" s="10"/>
      <c r="F102" s="13" t="str">
        <f>IF(A102='بطاقة العقد'!$B$1,ROW(),"")</f>
        <v/>
      </c>
    </row>
    <row r="103" spans="1:6">
      <c r="A103" s="10"/>
      <c r="B103" s="10"/>
      <c r="C103" s="11"/>
      <c r="D103" s="10"/>
      <c r="F103" s="13" t="str">
        <f>IF(A103='بطاقة العقد'!$B$1,ROW(),"")</f>
        <v/>
      </c>
    </row>
    <row r="104" spans="1:6">
      <c r="A104" s="10"/>
      <c r="B104" s="10"/>
      <c r="C104" s="11"/>
      <c r="D104" s="10"/>
      <c r="F104" s="13" t="str">
        <f>IF(A104='بطاقة العقد'!$B$1,ROW(),"")</f>
        <v/>
      </c>
    </row>
    <row r="105" spans="1:6">
      <c r="A105" s="10"/>
      <c r="B105" s="10"/>
      <c r="C105" s="11"/>
      <c r="D105" s="10"/>
      <c r="F105" s="13" t="str">
        <f>IF(A105='بطاقة العقد'!$B$1,ROW(),"")</f>
        <v/>
      </c>
    </row>
    <row r="106" spans="1:6">
      <c r="A106" s="10"/>
      <c r="B106" s="10"/>
      <c r="C106" s="11"/>
      <c r="D106" s="10"/>
      <c r="F106" s="13" t="str">
        <f>IF(A106='بطاقة العقد'!$B$1,ROW(),"")</f>
        <v/>
      </c>
    </row>
    <row r="107" spans="1:6">
      <c r="A107" s="10"/>
      <c r="B107" s="10"/>
      <c r="C107" s="11"/>
      <c r="D107" s="10"/>
      <c r="F107" s="13" t="str">
        <f>IF(A107='بطاقة العقد'!$B$1,ROW(),"")</f>
        <v/>
      </c>
    </row>
    <row r="108" spans="1:6">
      <c r="A108" s="10"/>
      <c r="B108" s="10"/>
      <c r="C108" s="11"/>
      <c r="D108" s="10"/>
      <c r="F108" s="13" t="str">
        <f>IF(A108='بطاقة العقد'!$B$1,ROW(),"")</f>
        <v/>
      </c>
    </row>
    <row r="109" spans="1:6">
      <c r="A109" s="10"/>
      <c r="B109" s="10"/>
      <c r="C109" s="11"/>
      <c r="D109" s="10"/>
      <c r="F109" s="13" t="str">
        <f>IF(A109='بطاقة العقد'!$B$1,ROW(),"")</f>
        <v/>
      </c>
    </row>
    <row r="110" spans="1:6">
      <c r="A110" s="10"/>
      <c r="B110" s="10"/>
      <c r="C110" s="11"/>
      <c r="D110" s="10"/>
      <c r="F110" s="13" t="str">
        <f>IF(A110='بطاقة العقد'!$B$1,ROW(),"")</f>
        <v/>
      </c>
    </row>
    <row r="111" spans="1:6">
      <c r="A111" s="10"/>
      <c r="B111" s="10"/>
      <c r="C111" s="11"/>
      <c r="D111" s="10"/>
      <c r="F111" s="13" t="str">
        <f>IF(A111='بطاقة العقد'!$B$1,ROW(),"")</f>
        <v/>
      </c>
    </row>
    <row r="112" spans="1:6">
      <c r="A112" s="10"/>
      <c r="B112" s="10"/>
      <c r="C112" s="11"/>
      <c r="D112" s="10"/>
      <c r="F112" s="13" t="str">
        <f>IF(A112='بطاقة العقد'!$B$1,ROW(),"")</f>
        <v/>
      </c>
    </row>
    <row r="113" spans="1:6">
      <c r="A113" s="10"/>
      <c r="B113" s="10"/>
      <c r="C113" s="11"/>
      <c r="D113" s="10"/>
      <c r="F113" s="13" t="str">
        <f>IF(A113='بطاقة العقد'!$B$1,ROW(),"")</f>
        <v/>
      </c>
    </row>
    <row r="114" spans="1:6">
      <c r="A114" s="10"/>
      <c r="B114" s="10"/>
      <c r="C114" s="11"/>
      <c r="D114" s="10"/>
      <c r="F114" s="13" t="str">
        <f>IF(A114='بطاقة العقد'!$B$1,ROW(),"")</f>
        <v/>
      </c>
    </row>
    <row r="115" spans="1:6">
      <c r="A115" s="10"/>
      <c r="B115" s="10"/>
      <c r="C115" s="11"/>
      <c r="D115" s="10"/>
      <c r="F115" s="13" t="str">
        <f>IF(A115='بطاقة العقد'!$B$1,ROW(),"")</f>
        <v/>
      </c>
    </row>
    <row r="116" spans="1:6">
      <c r="A116" s="10"/>
      <c r="B116" s="10"/>
      <c r="C116" s="11"/>
      <c r="D116" s="10"/>
      <c r="F116" s="13" t="str">
        <f>IF(A116='بطاقة العقد'!$B$1,ROW(),"")</f>
        <v/>
      </c>
    </row>
    <row r="117" spans="1:6">
      <c r="A117" s="10"/>
      <c r="B117" s="10"/>
      <c r="C117" s="11"/>
      <c r="D117" s="10"/>
      <c r="F117" s="13" t="str">
        <f>IF(A117='بطاقة العقد'!$B$1,ROW(),"")</f>
        <v/>
      </c>
    </row>
    <row r="118" spans="1:6">
      <c r="A118" s="10"/>
      <c r="B118" s="10"/>
      <c r="C118" s="11"/>
      <c r="D118" s="10"/>
      <c r="F118" s="13" t="str">
        <f>IF(A118='بطاقة العقد'!$B$1,ROW(),"")</f>
        <v/>
      </c>
    </row>
    <row r="119" spans="1:6">
      <c r="A119" s="10"/>
      <c r="B119" s="10"/>
      <c r="C119" s="11"/>
      <c r="D119" s="10"/>
      <c r="F119" s="13" t="str">
        <f>IF(A119='بطاقة العقد'!$B$1,ROW(),"")</f>
        <v/>
      </c>
    </row>
    <row r="120" spans="1:6">
      <c r="A120" s="10"/>
      <c r="B120" s="10"/>
      <c r="C120" s="11"/>
      <c r="D120" s="10"/>
      <c r="F120" s="13" t="str">
        <f>IF(A120='بطاقة العقد'!$B$1,ROW(),"")</f>
        <v/>
      </c>
    </row>
    <row r="121" spans="1:6">
      <c r="A121" s="10"/>
      <c r="B121" s="10"/>
      <c r="C121" s="11"/>
      <c r="D121" s="10"/>
      <c r="F121" s="13" t="str">
        <f>IF(A121='بطاقة العقد'!$B$1,ROW(),"")</f>
        <v/>
      </c>
    </row>
    <row r="122" spans="1:6">
      <c r="A122" s="10"/>
      <c r="B122" s="10"/>
      <c r="C122" s="11"/>
      <c r="D122" s="10"/>
      <c r="F122" s="13" t="str">
        <f>IF(A122='بطاقة العقد'!$B$1,ROW(),"")</f>
        <v/>
      </c>
    </row>
    <row r="123" spans="1:6">
      <c r="A123" s="10"/>
      <c r="B123" s="10"/>
      <c r="C123" s="11"/>
      <c r="D123" s="10"/>
      <c r="F123" s="13" t="str">
        <f>IF(A123='بطاقة العقد'!$B$1,ROW(),"")</f>
        <v/>
      </c>
    </row>
    <row r="124" spans="1:6">
      <c r="A124" s="10"/>
      <c r="B124" s="10"/>
      <c r="C124" s="11"/>
      <c r="D124" s="10"/>
      <c r="F124" s="13" t="str">
        <f>IF(A124='بطاقة العقد'!$B$1,ROW(),"")</f>
        <v/>
      </c>
    </row>
    <row r="125" spans="1:6">
      <c r="A125" s="10"/>
      <c r="B125" s="10"/>
      <c r="C125" s="11"/>
      <c r="D125" s="10"/>
      <c r="F125" s="13" t="str">
        <f>IF(A125='بطاقة العقد'!$B$1,ROW(),"")</f>
        <v/>
      </c>
    </row>
    <row r="126" spans="1:6">
      <c r="A126" s="10"/>
      <c r="B126" s="10"/>
      <c r="C126" s="11"/>
      <c r="D126" s="10"/>
      <c r="F126" s="13" t="str">
        <f>IF(A126='بطاقة العقد'!$B$1,ROW(),"")</f>
        <v/>
      </c>
    </row>
    <row r="127" spans="1:6">
      <c r="A127" s="10"/>
      <c r="B127" s="10"/>
      <c r="C127" s="11"/>
      <c r="D127" s="10"/>
      <c r="F127" s="13" t="str">
        <f>IF(A127='بطاقة العقد'!$B$1,ROW(),"")</f>
        <v/>
      </c>
    </row>
    <row r="128" spans="1:6">
      <c r="A128" s="10"/>
      <c r="B128" s="10"/>
      <c r="C128" s="11"/>
      <c r="D128" s="10"/>
      <c r="F128" s="13" t="str">
        <f>IF(A128='بطاقة العقد'!$B$1,ROW(),"")</f>
        <v/>
      </c>
    </row>
    <row r="129" spans="1:6">
      <c r="A129" s="10"/>
      <c r="B129" s="10"/>
      <c r="C129" s="11"/>
      <c r="D129" s="10"/>
      <c r="F129" s="13" t="str">
        <f>IF(A129='بطاقة العقد'!$B$1,ROW(),"")</f>
        <v/>
      </c>
    </row>
    <row r="130" spans="1:6">
      <c r="A130" s="10"/>
      <c r="B130" s="10"/>
      <c r="C130" s="11"/>
      <c r="D130" s="10"/>
      <c r="F130" s="13" t="str">
        <f>IF(A130='بطاقة العقد'!$B$1,ROW(),"")</f>
        <v/>
      </c>
    </row>
    <row r="131" spans="1:6">
      <c r="A131" s="10"/>
      <c r="B131" s="10"/>
      <c r="C131" s="11"/>
      <c r="D131" s="10"/>
      <c r="F131" s="13" t="str">
        <f>IF(A131='بطاقة العقد'!$B$1,ROW(),"")</f>
        <v/>
      </c>
    </row>
    <row r="132" spans="1:6">
      <c r="A132" s="10"/>
      <c r="B132" s="10"/>
      <c r="C132" s="11"/>
      <c r="D132" s="10"/>
      <c r="F132" s="13" t="str">
        <f>IF(A132='بطاقة العقد'!$B$1,ROW(),"")</f>
        <v/>
      </c>
    </row>
    <row r="133" spans="1:6">
      <c r="A133" s="10"/>
      <c r="B133" s="10"/>
      <c r="C133" s="11"/>
      <c r="D133" s="10"/>
      <c r="F133" s="13" t="str">
        <f>IF(A133='بطاقة العقد'!$B$1,ROW(),"")</f>
        <v/>
      </c>
    </row>
    <row r="134" spans="1:6">
      <c r="A134" s="10"/>
      <c r="B134" s="10"/>
      <c r="C134" s="11"/>
      <c r="D134" s="10"/>
      <c r="F134" s="13" t="str">
        <f>IF(A134='بطاقة العقد'!$B$1,ROW(),"")</f>
        <v/>
      </c>
    </row>
    <row r="135" spans="1:6">
      <c r="A135" s="10"/>
      <c r="B135" s="10"/>
      <c r="C135" s="11"/>
      <c r="D135" s="10"/>
      <c r="F135" s="13" t="str">
        <f>IF(A135='بطاقة العقد'!$B$1,ROW(),"")</f>
        <v/>
      </c>
    </row>
    <row r="136" spans="1:6">
      <c r="A136" s="10"/>
      <c r="B136" s="10"/>
      <c r="C136" s="11"/>
      <c r="D136" s="10"/>
      <c r="F136" s="13" t="str">
        <f>IF(A136='بطاقة العقد'!$B$1,ROW(),"")</f>
        <v/>
      </c>
    </row>
    <row r="137" spans="1:6">
      <c r="A137" s="10"/>
      <c r="B137" s="10"/>
      <c r="C137" s="11"/>
      <c r="D137" s="10"/>
      <c r="F137" s="13" t="str">
        <f>IF(A137='بطاقة العقد'!$B$1,ROW(),"")</f>
        <v/>
      </c>
    </row>
    <row r="138" spans="1:6">
      <c r="A138" s="10"/>
      <c r="B138" s="10"/>
      <c r="C138" s="11"/>
      <c r="D138" s="10"/>
      <c r="F138" s="13" t="str">
        <f>IF(A138='بطاقة العقد'!$B$1,ROW(),"")</f>
        <v/>
      </c>
    </row>
    <row r="139" spans="1:6">
      <c r="A139" s="10"/>
      <c r="B139" s="10"/>
      <c r="C139" s="11"/>
      <c r="D139" s="10"/>
      <c r="F139" s="13" t="str">
        <f>IF(A139='بطاقة العقد'!$B$1,ROW(),"")</f>
        <v/>
      </c>
    </row>
    <row r="140" spans="1:6">
      <c r="A140" s="10"/>
      <c r="B140" s="10"/>
      <c r="C140" s="11"/>
      <c r="D140" s="10"/>
      <c r="F140" s="13" t="str">
        <f>IF(A140='بطاقة العقد'!$B$1,ROW(),"")</f>
        <v/>
      </c>
    </row>
    <row r="141" spans="1:6">
      <c r="A141" s="10"/>
      <c r="B141" s="10"/>
      <c r="C141" s="11"/>
      <c r="D141" s="10"/>
      <c r="F141" s="13" t="str">
        <f>IF(A141='بطاقة العقد'!$B$1,ROW(),"")</f>
        <v/>
      </c>
    </row>
    <row r="142" spans="1:6">
      <c r="A142" s="10"/>
      <c r="B142" s="10"/>
      <c r="C142" s="11"/>
      <c r="D142" s="10"/>
      <c r="F142" s="13" t="str">
        <f>IF(A142='بطاقة العقد'!$B$1,ROW(),"")</f>
        <v/>
      </c>
    </row>
    <row r="143" spans="1:6">
      <c r="A143" s="10"/>
      <c r="B143" s="10"/>
      <c r="C143" s="11"/>
      <c r="D143" s="10"/>
      <c r="F143" s="13" t="str">
        <f>IF(A143='بطاقة العقد'!$B$1,ROW(),"")</f>
        <v/>
      </c>
    </row>
    <row r="144" spans="1:6">
      <c r="A144" s="10"/>
      <c r="B144" s="10"/>
      <c r="C144" s="11"/>
      <c r="D144" s="10"/>
      <c r="F144" s="13" t="str">
        <f>IF(A144='بطاقة العقد'!$B$1,ROW(),"")</f>
        <v/>
      </c>
    </row>
    <row r="145" spans="1:6">
      <c r="A145" s="10"/>
      <c r="B145" s="10"/>
      <c r="C145" s="11"/>
      <c r="D145" s="10"/>
      <c r="F145" s="13" t="str">
        <f>IF(A145='بطاقة العقد'!$B$1,ROW(),"")</f>
        <v/>
      </c>
    </row>
    <row r="146" spans="1:6">
      <c r="A146" s="10"/>
      <c r="B146" s="10"/>
      <c r="C146" s="11"/>
      <c r="D146" s="10"/>
      <c r="F146" s="13" t="str">
        <f>IF(A146='بطاقة العقد'!$B$1,ROW(),"")</f>
        <v/>
      </c>
    </row>
    <row r="147" spans="1:6">
      <c r="A147" s="10"/>
      <c r="B147" s="10"/>
      <c r="C147" s="11"/>
      <c r="D147" s="10"/>
      <c r="F147" s="13" t="str">
        <f>IF(A147='بطاقة العقد'!$B$1,ROW(),"")</f>
        <v/>
      </c>
    </row>
    <row r="148" spans="1:6">
      <c r="A148" s="10"/>
      <c r="B148" s="10"/>
      <c r="C148" s="11"/>
      <c r="D148" s="10"/>
      <c r="F148" s="13" t="str">
        <f>IF(A148='بطاقة العقد'!$B$1,ROW(),"")</f>
        <v/>
      </c>
    </row>
    <row r="149" spans="1:6">
      <c r="A149" s="10"/>
      <c r="B149" s="10"/>
      <c r="C149" s="11"/>
      <c r="D149" s="10"/>
      <c r="F149" s="13" t="str">
        <f>IF(A149='بطاقة العقد'!$B$1,ROW(),"")</f>
        <v/>
      </c>
    </row>
    <row r="150" spans="1:6">
      <c r="A150" s="10"/>
      <c r="B150" s="10"/>
      <c r="C150" s="11"/>
      <c r="D150" s="10"/>
      <c r="F150" s="13" t="str">
        <f>IF(A150='بطاقة العقد'!$B$1,ROW(),"")</f>
        <v/>
      </c>
    </row>
    <row r="151" spans="1:6">
      <c r="A151" s="10"/>
      <c r="B151" s="10"/>
      <c r="C151" s="11"/>
      <c r="D151" s="10"/>
      <c r="F151" s="13" t="str">
        <f>IF(A151='بطاقة العقد'!$B$1,ROW(),"")</f>
        <v/>
      </c>
    </row>
    <row r="152" spans="1:6">
      <c r="A152" s="10"/>
      <c r="B152" s="10"/>
      <c r="C152" s="11"/>
      <c r="D152" s="10"/>
      <c r="F152" s="13" t="str">
        <f>IF(A152='بطاقة العقد'!$B$1,ROW(),"")</f>
        <v/>
      </c>
    </row>
    <row r="153" spans="1:6">
      <c r="A153" s="10"/>
      <c r="B153" s="10"/>
      <c r="C153" s="11"/>
      <c r="D153" s="10"/>
      <c r="F153" s="13" t="str">
        <f>IF(A153='بطاقة العقد'!$B$1,ROW(),"")</f>
        <v/>
      </c>
    </row>
    <row r="154" spans="1:6">
      <c r="A154" s="10"/>
      <c r="B154" s="10"/>
      <c r="C154" s="11"/>
      <c r="D154" s="10"/>
      <c r="F154" s="13" t="str">
        <f>IF(A154='بطاقة العقد'!$B$1,ROW(),"")</f>
        <v/>
      </c>
    </row>
    <row r="155" spans="1:6">
      <c r="A155" s="10"/>
      <c r="B155" s="10"/>
      <c r="C155" s="11"/>
      <c r="D155" s="10"/>
      <c r="F155" s="13" t="str">
        <f>IF(A155='بطاقة العقد'!$B$1,ROW(),"")</f>
        <v/>
      </c>
    </row>
    <row r="156" spans="1:6">
      <c r="A156" s="10"/>
      <c r="B156" s="10"/>
      <c r="C156" s="11"/>
      <c r="D156" s="10"/>
      <c r="F156" s="13" t="str">
        <f>IF(A156='بطاقة العقد'!$B$1,ROW(),"")</f>
        <v/>
      </c>
    </row>
    <row r="157" spans="1:6">
      <c r="A157" s="10"/>
      <c r="B157" s="10"/>
      <c r="C157" s="11"/>
      <c r="D157" s="10"/>
      <c r="F157" s="13" t="str">
        <f>IF(A157='بطاقة العقد'!$B$1,ROW(),"")</f>
        <v/>
      </c>
    </row>
    <row r="158" spans="1:6">
      <c r="A158" s="10"/>
      <c r="B158" s="10"/>
      <c r="C158" s="11"/>
      <c r="D158" s="10"/>
      <c r="F158" s="13" t="str">
        <f>IF(A158='بطاقة العقد'!$B$1,ROW(),"")</f>
        <v/>
      </c>
    </row>
    <row r="159" spans="1:6">
      <c r="A159" s="10"/>
      <c r="B159" s="10"/>
      <c r="C159" s="11"/>
      <c r="D159" s="10"/>
      <c r="F159" s="13" t="str">
        <f>IF(A159='بطاقة العقد'!$B$1,ROW(),"")</f>
        <v/>
      </c>
    </row>
    <row r="160" spans="1:6">
      <c r="A160" s="10"/>
      <c r="B160" s="10"/>
      <c r="C160" s="11"/>
      <c r="D160" s="10"/>
      <c r="F160" s="13" t="str">
        <f>IF(A160='بطاقة العقد'!$B$1,ROW(),"")</f>
        <v/>
      </c>
    </row>
    <row r="161" spans="1:6">
      <c r="A161" s="10"/>
      <c r="B161" s="10"/>
      <c r="C161" s="11"/>
      <c r="D161" s="10"/>
      <c r="F161" s="13" t="str">
        <f>IF(A161='بطاقة العقد'!$B$1,ROW(),"")</f>
        <v/>
      </c>
    </row>
    <row r="162" spans="1:6">
      <c r="A162" s="10"/>
      <c r="B162" s="10"/>
      <c r="C162" s="11"/>
      <c r="D162" s="10"/>
      <c r="F162" s="13" t="str">
        <f>IF(A162='بطاقة العقد'!$B$1,ROW(),"")</f>
        <v/>
      </c>
    </row>
    <row r="163" spans="1:6">
      <c r="A163" s="10"/>
      <c r="B163" s="10"/>
      <c r="C163" s="11"/>
      <c r="D163" s="10"/>
      <c r="F163" s="13" t="str">
        <f>IF(A163='بطاقة العقد'!$B$1,ROW(),"")</f>
        <v/>
      </c>
    </row>
    <row r="164" spans="1:6">
      <c r="A164" s="10"/>
      <c r="B164" s="10"/>
      <c r="C164" s="11"/>
      <c r="D164" s="10"/>
      <c r="F164" s="13" t="str">
        <f>IF(A164='بطاقة العقد'!$B$1,ROW(),"")</f>
        <v/>
      </c>
    </row>
    <row r="165" spans="1:6">
      <c r="A165" s="10"/>
      <c r="B165" s="10"/>
      <c r="C165" s="11"/>
      <c r="D165" s="10"/>
      <c r="F165" s="13" t="str">
        <f>IF(A165='بطاقة العقد'!$B$1,ROW(),"")</f>
        <v/>
      </c>
    </row>
    <row r="166" spans="1:6">
      <c r="A166" s="10"/>
      <c r="B166" s="10"/>
      <c r="C166" s="11"/>
      <c r="D166" s="10"/>
      <c r="F166" s="13" t="str">
        <f>IF(A166='بطاقة العقد'!$B$1,ROW(),"")</f>
        <v/>
      </c>
    </row>
    <row r="167" spans="1:6">
      <c r="A167" s="10"/>
      <c r="B167" s="10"/>
      <c r="C167" s="11"/>
      <c r="D167" s="10"/>
      <c r="F167" s="13" t="str">
        <f>IF(A167='بطاقة العقد'!$B$1,ROW(),"")</f>
        <v/>
      </c>
    </row>
    <row r="168" spans="1:6">
      <c r="A168" s="10"/>
      <c r="B168" s="10"/>
      <c r="C168" s="11"/>
      <c r="D168" s="10"/>
      <c r="F168" s="13" t="str">
        <f>IF(A168='بطاقة العقد'!$B$1,ROW(),"")</f>
        <v/>
      </c>
    </row>
    <row r="169" spans="1:6">
      <c r="A169" s="10"/>
      <c r="B169" s="10"/>
      <c r="C169" s="11"/>
      <c r="D169" s="10"/>
      <c r="F169" s="13" t="str">
        <f>IF(A169='بطاقة العقد'!$B$1,ROW(),"")</f>
        <v/>
      </c>
    </row>
    <row r="170" spans="1:6">
      <c r="A170" s="10"/>
      <c r="B170" s="10"/>
      <c r="C170" s="11"/>
      <c r="D170" s="10"/>
      <c r="F170" s="13" t="str">
        <f>IF(A170='بطاقة العقد'!$B$1,ROW(),"")</f>
        <v/>
      </c>
    </row>
    <row r="171" spans="1:6">
      <c r="A171" s="10"/>
      <c r="B171" s="10"/>
      <c r="C171" s="11"/>
      <c r="D171" s="10"/>
      <c r="F171" s="13" t="str">
        <f>IF(A171='بطاقة العقد'!$B$1,ROW(),"")</f>
        <v/>
      </c>
    </row>
    <row r="172" spans="1:6">
      <c r="A172" s="10"/>
      <c r="B172" s="10"/>
      <c r="C172" s="11"/>
      <c r="D172" s="10"/>
      <c r="F172" s="13" t="str">
        <f>IF(A172='بطاقة العقد'!$B$1,ROW(),"")</f>
        <v/>
      </c>
    </row>
    <row r="173" spans="1:6">
      <c r="A173" s="10"/>
      <c r="B173" s="10"/>
      <c r="C173" s="11"/>
      <c r="D173" s="10"/>
      <c r="F173" s="13" t="str">
        <f>IF(A173='بطاقة العقد'!$B$1,ROW(),"")</f>
        <v/>
      </c>
    </row>
    <row r="174" spans="1:6">
      <c r="A174" s="10"/>
      <c r="B174" s="10"/>
      <c r="C174" s="11"/>
      <c r="D174" s="10"/>
      <c r="F174" s="13" t="str">
        <f>IF(A174='بطاقة العقد'!$B$1,ROW(),"")</f>
        <v/>
      </c>
    </row>
    <row r="175" spans="1:6">
      <c r="A175" s="10"/>
      <c r="B175" s="10"/>
      <c r="C175" s="11"/>
      <c r="D175" s="10"/>
      <c r="F175" s="13" t="str">
        <f>IF(A175='بطاقة العقد'!$B$1,ROW(),"")</f>
        <v/>
      </c>
    </row>
    <row r="176" spans="1:6">
      <c r="A176" s="10"/>
      <c r="B176" s="10"/>
      <c r="C176" s="11"/>
      <c r="D176" s="10"/>
      <c r="F176" s="13" t="str">
        <f>IF(A176='بطاقة العقد'!$B$1,ROW(),"")</f>
        <v/>
      </c>
    </row>
    <row r="177" spans="1:6">
      <c r="A177" s="10"/>
      <c r="B177" s="10"/>
      <c r="C177" s="11"/>
      <c r="D177" s="10"/>
      <c r="F177" s="13" t="str">
        <f>IF(A177='بطاقة العقد'!$B$1,ROW(),"")</f>
        <v/>
      </c>
    </row>
    <row r="178" spans="1:6">
      <c r="A178" s="10"/>
      <c r="B178" s="10"/>
      <c r="C178" s="11"/>
      <c r="D178" s="10"/>
      <c r="F178" s="13" t="str">
        <f>IF(A178='بطاقة العقد'!$B$1,ROW(),"")</f>
        <v/>
      </c>
    </row>
    <row r="179" spans="1:6">
      <c r="A179" s="10"/>
      <c r="B179" s="10"/>
      <c r="C179" s="11"/>
      <c r="D179" s="10"/>
      <c r="F179" s="13" t="str">
        <f>IF(A179='بطاقة العقد'!$B$1,ROW(),"")</f>
        <v/>
      </c>
    </row>
    <row r="180" spans="1:6">
      <c r="A180" s="10"/>
      <c r="B180" s="10"/>
      <c r="C180" s="11"/>
      <c r="D180" s="10"/>
      <c r="F180" s="13" t="str">
        <f>IF(A180='بطاقة العقد'!$B$1,ROW(),"")</f>
        <v/>
      </c>
    </row>
    <row r="181" spans="1:6">
      <c r="A181" s="10"/>
      <c r="B181" s="10"/>
      <c r="C181" s="11"/>
      <c r="D181" s="10"/>
      <c r="F181" s="13" t="str">
        <f>IF(A181='بطاقة العقد'!$B$1,ROW(),"")</f>
        <v/>
      </c>
    </row>
    <row r="182" spans="1:6">
      <c r="A182" s="10"/>
      <c r="B182" s="10"/>
      <c r="C182" s="11"/>
      <c r="D182" s="10"/>
      <c r="F182" s="13" t="str">
        <f>IF(A182='بطاقة العقد'!$B$1,ROW(),"")</f>
        <v/>
      </c>
    </row>
    <row r="183" spans="1:6">
      <c r="A183" s="10"/>
      <c r="B183" s="10"/>
      <c r="C183" s="11"/>
      <c r="D183" s="10"/>
      <c r="F183" s="13" t="str">
        <f>IF(A183='بطاقة العقد'!$B$1,ROW(),"")</f>
        <v/>
      </c>
    </row>
    <row r="184" spans="1:6">
      <c r="A184" s="10"/>
      <c r="B184" s="10"/>
      <c r="C184" s="11"/>
      <c r="D184" s="10"/>
      <c r="F184" s="13" t="str">
        <f>IF(A184='بطاقة العقد'!$B$1,ROW(),"")</f>
        <v/>
      </c>
    </row>
    <row r="185" spans="1:6">
      <c r="A185" s="10"/>
      <c r="B185" s="10"/>
      <c r="C185" s="11"/>
      <c r="D185" s="10"/>
      <c r="F185" s="13" t="str">
        <f>IF(A185='بطاقة العقد'!$B$1,ROW(),"")</f>
        <v/>
      </c>
    </row>
    <row r="186" spans="1:6">
      <c r="A186" s="10"/>
      <c r="B186" s="10"/>
      <c r="C186" s="11"/>
      <c r="D186" s="10"/>
      <c r="F186" s="13" t="str">
        <f>IF(A186='بطاقة العقد'!$B$1,ROW(),"")</f>
        <v/>
      </c>
    </row>
    <row r="187" spans="1:6">
      <c r="A187" s="10"/>
      <c r="B187" s="10"/>
      <c r="C187" s="11"/>
      <c r="D187" s="10"/>
      <c r="F187" s="13" t="str">
        <f>IF(A187='بطاقة العقد'!$B$1,ROW(),"")</f>
        <v/>
      </c>
    </row>
    <row r="188" spans="1:6">
      <c r="A188" s="10"/>
      <c r="B188" s="10"/>
      <c r="C188" s="11"/>
      <c r="D188" s="10"/>
      <c r="F188" s="13" t="str">
        <f>IF(A188='بطاقة العقد'!$B$1,ROW(),"")</f>
        <v/>
      </c>
    </row>
    <row r="189" spans="1:6">
      <c r="A189" s="10"/>
      <c r="B189" s="10"/>
      <c r="C189" s="11"/>
      <c r="D189" s="10"/>
      <c r="F189" s="13" t="str">
        <f>IF(A189='بطاقة العقد'!$B$1,ROW(),"")</f>
        <v/>
      </c>
    </row>
    <row r="190" spans="1:6">
      <c r="A190" s="10"/>
      <c r="B190" s="10"/>
      <c r="C190" s="11"/>
      <c r="D190" s="10"/>
      <c r="F190" s="13" t="str">
        <f>IF(A190='بطاقة العقد'!$B$1,ROW(),"")</f>
        <v/>
      </c>
    </row>
    <row r="191" spans="1:6">
      <c r="A191" s="10"/>
      <c r="B191" s="10"/>
      <c r="C191" s="11"/>
      <c r="D191" s="10"/>
      <c r="F191" s="13" t="str">
        <f>IF(A191='بطاقة العقد'!$B$1,ROW(),"")</f>
        <v/>
      </c>
    </row>
    <row r="192" spans="1:6">
      <c r="A192" s="10"/>
      <c r="B192" s="10"/>
      <c r="C192" s="11"/>
      <c r="D192" s="10"/>
      <c r="F192" s="13" t="str">
        <f>IF(A192='بطاقة العقد'!$B$1,ROW(),"")</f>
        <v/>
      </c>
    </row>
    <row r="193" spans="1:6">
      <c r="A193" s="10"/>
      <c r="B193" s="10"/>
      <c r="C193" s="11"/>
      <c r="D193" s="10"/>
      <c r="F193" s="13" t="str">
        <f>IF(A193='بطاقة العقد'!$B$1,ROW(),"")</f>
        <v/>
      </c>
    </row>
    <row r="194" spans="1:6">
      <c r="A194" s="10"/>
      <c r="B194" s="10"/>
      <c r="C194" s="11"/>
      <c r="D194" s="10"/>
      <c r="F194" s="13" t="str">
        <f>IF(A194='بطاقة العقد'!$B$1,ROW(),"")</f>
        <v/>
      </c>
    </row>
    <row r="195" spans="1:6">
      <c r="A195" s="10"/>
      <c r="B195" s="10"/>
      <c r="C195" s="11"/>
      <c r="D195" s="10"/>
      <c r="F195" s="13" t="str">
        <f>IF(A195='بطاقة العقد'!$B$1,ROW(),"")</f>
        <v/>
      </c>
    </row>
    <row r="196" spans="1:6">
      <c r="A196" s="10"/>
      <c r="B196" s="10"/>
      <c r="C196" s="11"/>
      <c r="D196" s="10"/>
      <c r="F196" s="13" t="str">
        <f>IF(A196='بطاقة العقد'!$B$1,ROW(),"")</f>
        <v/>
      </c>
    </row>
    <row r="197" spans="1:6">
      <c r="A197" s="10"/>
      <c r="B197" s="10"/>
      <c r="C197" s="11"/>
      <c r="D197" s="10"/>
      <c r="F197" s="13" t="str">
        <f>IF(A197='بطاقة العقد'!$B$1,ROW(),"")</f>
        <v/>
      </c>
    </row>
    <row r="198" spans="1:6">
      <c r="A198" s="10"/>
      <c r="B198" s="10"/>
      <c r="C198" s="11"/>
      <c r="D198" s="10"/>
      <c r="F198" s="13" t="str">
        <f>IF(A198='بطاقة العقد'!$B$1,ROW(),"")</f>
        <v/>
      </c>
    </row>
    <row r="199" spans="1:6">
      <c r="A199" s="10"/>
      <c r="B199" s="10"/>
      <c r="C199" s="11"/>
      <c r="D199" s="10"/>
      <c r="F199" s="13" t="str">
        <f>IF(A199='بطاقة العقد'!$B$1,ROW(),"")</f>
        <v/>
      </c>
    </row>
    <row r="200" spans="1:6">
      <c r="A200" s="10"/>
      <c r="B200" s="10"/>
      <c r="C200" s="11"/>
      <c r="D200" s="10"/>
      <c r="F200" s="13" t="str">
        <f>IF(A200='بطاقة العقد'!$B$1,ROW(),"")</f>
        <v/>
      </c>
    </row>
    <row r="201" spans="1:6">
      <c r="A201" s="10"/>
      <c r="B201" s="10"/>
      <c r="C201" s="11"/>
      <c r="D201" s="10"/>
      <c r="F201" s="13" t="str">
        <f>IF(A201='بطاقة العقد'!$B$1,ROW(),"")</f>
        <v/>
      </c>
    </row>
    <row r="202" spans="1:6">
      <c r="A202" s="10"/>
      <c r="B202" s="10"/>
      <c r="C202" s="11"/>
      <c r="D202" s="10"/>
      <c r="F202" s="13" t="str">
        <f>IF(A202='بطاقة العقد'!$B$1,ROW(),"")</f>
        <v/>
      </c>
    </row>
    <row r="203" spans="1:6">
      <c r="A203" s="10"/>
      <c r="B203" s="10"/>
      <c r="C203" s="11"/>
      <c r="D203" s="10"/>
      <c r="F203" s="13" t="str">
        <f>IF(A203='بطاقة العقد'!$B$1,ROW(),"")</f>
        <v/>
      </c>
    </row>
    <row r="204" spans="1:6">
      <c r="A204" s="10"/>
      <c r="B204" s="10"/>
      <c r="C204" s="11"/>
      <c r="D204" s="10"/>
      <c r="F204" s="13" t="str">
        <f>IF(A204='بطاقة العقد'!$B$1,ROW(),"")</f>
        <v/>
      </c>
    </row>
    <row r="205" spans="1:6">
      <c r="A205" s="10"/>
      <c r="B205" s="10"/>
      <c r="C205" s="11"/>
      <c r="D205" s="10"/>
      <c r="F205" s="13" t="str">
        <f>IF(A205='بطاقة العقد'!$B$1,ROW(),"")</f>
        <v/>
      </c>
    </row>
    <row r="206" spans="1:6">
      <c r="A206" s="10"/>
      <c r="B206" s="10"/>
      <c r="C206" s="11"/>
      <c r="D206" s="10"/>
      <c r="F206" s="13" t="str">
        <f>IF(A206='بطاقة العقد'!$B$1,ROW(),"")</f>
        <v/>
      </c>
    </row>
    <row r="207" spans="1:6">
      <c r="A207" s="10"/>
      <c r="B207" s="10"/>
      <c r="C207" s="11"/>
      <c r="D207" s="10"/>
      <c r="F207" s="13" t="str">
        <f>IF(A207='بطاقة العقد'!$B$1,ROW(),"")</f>
        <v/>
      </c>
    </row>
    <row r="208" spans="1:6">
      <c r="A208" s="10"/>
      <c r="B208" s="10"/>
      <c r="C208" s="11"/>
      <c r="D208" s="10"/>
      <c r="F208" s="13" t="str">
        <f>IF(A208='بطاقة العقد'!$B$1,ROW(),"")</f>
        <v/>
      </c>
    </row>
    <row r="209" spans="1:6">
      <c r="A209" s="10"/>
      <c r="B209" s="10"/>
      <c r="C209" s="11"/>
      <c r="D209" s="10"/>
      <c r="F209" s="13" t="str">
        <f>IF(A209='بطاقة العقد'!$B$1,ROW(),"")</f>
        <v/>
      </c>
    </row>
    <row r="210" spans="1:6">
      <c r="A210" s="10"/>
      <c r="B210" s="10"/>
      <c r="C210" s="11"/>
      <c r="D210" s="10"/>
      <c r="F210" s="13" t="str">
        <f>IF(A210='بطاقة العقد'!$B$1,ROW(),"")</f>
        <v/>
      </c>
    </row>
    <row r="211" spans="1:6">
      <c r="A211" s="10"/>
      <c r="B211" s="10"/>
      <c r="C211" s="11"/>
      <c r="D211" s="10"/>
      <c r="F211" s="13" t="str">
        <f>IF(A211='بطاقة العقد'!$B$1,ROW(),"")</f>
        <v/>
      </c>
    </row>
    <row r="212" spans="1:6">
      <c r="A212" s="10"/>
      <c r="B212" s="10"/>
      <c r="C212" s="11"/>
      <c r="D212" s="10"/>
      <c r="F212" s="13" t="str">
        <f>IF(A212='بطاقة العقد'!$B$1,ROW(),"")</f>
        <v/>
      </c>
    </row>
    <row r="213" spans="1:6">
      <c r="A213" s="10"/>
      <c r="B213" s="10"/>
      <c r="C213" s="11"/>
      <c r="D213" s="10"/>
      <c r="F213" s="13" t="str">
        <f>IF(A213='بطاقة العقد'!$B$1,ROW(),"")</f>
        <v/>
      </c>
    </row>
    <row r="214" spans="1:6">
      <c r="A214" s="10"/>
      <c r="B214" s="10"/>
      <c r="C214" s="11"/>
      <c r="D214" s="10"/>
      <c r="F214" s="13" t="str">
        <f>IF(A214='بطاقة العقد'!$B$1,ROW(),"")</f>
        <v/>
      </c>
    </row>
    <row r="215" spans="1:6">
      <c r="A215" s="10"/>
      <c r="B215" s="10"/>
      <c r="C215" s="11"/>
      <c r="D215" s="10"/>
      <c r="F215" s="13" t="str">
        <f>IF(A215='بطاقة العقد'!$B$1,ROW(),"")</f>
        <v/>
      </c>
    </row>
    <row r="216" spans="1:6">
      <c r="A216" s="10"/>
      <c r="B216" s="10"/>
      <c r="C216" s="11"/>
      <c r="D216" s="10"/>
      <c r="F216" s="13" t="str">
        <f>IF(A216='بطاقة العقد'!$B$1,ROW(),"")</f>
        <v/>
      </c>
    </row>
    <row r="217" spans="1:6">
      <c r="A217" s="10"/>
      <c r="B217" s="10"/>
      <c r="C217" s="11"/>
      <c r="D217" s="10"/>
      <c r="F217" s="13" t="str">
        <f>IF(A217='بطاقة العقد'!$B$1,ROW(),"")</f>
        <v/>
      </c>
    </row>
    <row r="218" spans="1:6">
      <c r="A218" s="10"/>
      <c r="B218" s="10"/>
      <c r="C218" s="11"/>
      <c r="D218" s="10"/>
      <c r="F218" s="13" t="str">
        <f>IF(A218='بطاقة العقد'!$B$1,ROW(),"")</f>
        <v/>
      </c>
    </row>
    <row r="219" spans="1:6">
      <c r="A219" s="10"/>
      <c r="B219" s="10"/>
      <c r="C219" s="11"/>
      <c r="D219" s="10"/>
      <c r="F219" s="13" t="str">
        <f>IF(A219='بطاقة العقد'!$B$1,ROW(),"")</f>
        <v/>
      </c>
    </row>
    <row r="220" spans="1:6">
      <c r="A220" s="10"/>
      <c r="B220" s="10"/>
      <c r="C220" s="11"/>
      <c r="D220" s="10"/>
      <c r="F220" s="13" t="str">
        <f>IF(A220='بطاقة العقد'!$B$1,ROW(),"")</f>
        <v/>
      </c>
    </row>
    <row r="221" spans="1:6">
      <c r="A221" s="10"/>
      <c r="B221" s="10"/>
      <c r="C221" s="11"/>
      <c r="D221" s="10"/>
      <c r="F221" s="13" t="str">
        <f>IF(A221='بطاقة العقد'!$B$1,ROW(),"")</f>
        <v/>
      </c>
    </row>
    <row r="222" spans="1:6">
      <c r="A222" s="10"/>
      <c r="B222" s="10"/>
      <c r="C222" s="11"/>
      <c r="D222" s="10"/>
      <c r="F222" s="13" t="str">
        <f>IF(A222='بطاقة العقد'!$B$1,ROW(),"")</f>
        <v/>
      </c>
    </row>
    <row r="223" spans="1:6">
      <c r="A223" s="10"/>
      <c r="B223" s="10"/>
      <c r="C223" s="11"/>
      <c r="D223" s="10"/>
      <c r="F223" s="13" t="str">
        <f>IF(A223='بطاقة العقد'!$B$1,ROW(),"")</f>
        <v/>
      </c>
    </row>
    <row r="224" spans="1:6">
      <c r="A224" s="10"/>
      <c r="B224" s="10"/>
      <c r="C224" s="11"/>
      <c r="D224" s="10"/>
      <c r="F224" s="13" t="str">
        <f>IF(A224='بطاقة العقد'!$B$1,ROW(),"")</f>
        <v/>
      </c>
    </row>
    <row r="225" spans="1:6">
      <c r="A225" s="10"/>
      <c r="B225" s="10"/>
      <c r="C225" s="11"/>
      <c r="D225" s="10"/>
      <c r="F225" s="13" t="str">
        <f>IF(A225='بطاقة العقد'!$B$1,ROW(),"")</f>
        <v/>
      </c>
    </row>
    <row r="226" spans="1:6">
      <c r="A226" s="10"/>
      <c r="B226" s="10"/>
      <c r="C226" s="11"/>
      <c r="D226" s="10"/>
      <c r="F226" s="13" t="str">
        <f>IF(A226='بطاقة العقد'!$B$1,ROW(),"")</f>
        <v/>
      </c>
    </row>
    <row r="227" spans="1:6">
      <c r="A227" s="10"/>
      <c r="B227" s="10"/>
      <c r="C227" s="11"/>
      <c r="D227" s="10"/>
      <c r="F227" s="13" t="str">
        <f>IF(A227='بطاقة العقد'!$B$1,ROW(),"")</f>
        <v/>
      </c>
    </row>
    <row r="228" spans="1:6">
      <c r="A228" s="10"/>
      <c r="B228" s="10"/>
      <c r="C228" s="11"/>
      <c r="D228" s="10"/>
      <c r="F228" s="13" t="str">
        <f>IF(A228='بطاقة العقد'!$B$1,ROW(),"")</f>
        <v/>
      </c>
    </row>
    <row r="229" spans="1:6">
      <c r="A229" s="10"/>
      <c r="B229" s="10"/>
      <c r="C229" s="11"/>
      <c r="D229" s="10"/>
      <c r="F229" s="13" t="str">
        <f>IF(A229='بطاقة العقد'!$B$1,ROW(),"")</f>
        <v/>
      </c>
    </row>
    <row r="230" spans="1:6">
      <c r="A230" s="10"/>
      <c r="B230" s="10"/>
      <c r="C230" s="11"/>
      <c r="D230" s="10"/>
      <c r="F230" s="13" t="str">
        <f>IF(A230='بطاقة العقد'!$B$1,ROW(),"")</f>
        <v/>
      </c>
    </row>
    <row r="231" spans="1:6">
      <c r="A231" s="10"/>
      <c r="B231" s="10"/>
      <c r="C231" s="11"/>
      <c r="D231" s="10"/>
      <c r="F231" s="13" t="str">
        <f>IF(A231='بطاقة العقد'!$B$1,ROW(),"")</f>
        <v/>
      </c>
    </row>
    <row r="232" spans="1:6">
      <c r="A232" s="10"/>
      <c r="B232" s="10"/>
      <c r="C232" s="11"/>
      <c r="D232" s="10"/>
      <c r="F232" s="13" t="str">
        <f>IF(A232='بطاقة العقد'!$B$1,ROW(),"")</f>
        <v/>
      </c>
    </row>
    <row r="233" spans="1:6">
      <c r="A233" s="10"/>
      <c r="B233" s="10"/>
      <c r="C233" s="11"/>
      <c r="D233" s="10"/>
      <c r="F233" s="13" t="str">
        <f>IF(A233='بطاقة العقد'!$B$1,ROW(),"")</f>
        <v/>
      </c>
    </row>
    <row r="234" spans="1:6">
      <c r="A234" s="10"/>
      <c r="B234" s="10"/>
      <c r="C234" s="11"/>
      <c r="D234" s="10"/>
      <c r="F234" s="13" t="str">
        <f>IF(A234='بطاقة العقد'!$B$1,ROW(),"")</f>
        <v/>
      </c>
    </row>
    <row r="235" spans="1:6">
      <c r="A235" s="10"/>
      <c r="B235" s="10"/>
      <c r="C235" s="11"/>
      <c r="D235" s="10"/>
      <c r="F235" s="13" t="str">
        <f>IF(A235='بطاقة العقد'!$B$1,ROW(),"")</f>
        <v/>
      </c>
    </row>
    <row r="236" spans="1:6">
      <c r="A236" s="10"/>
      <c r="B236" s="10"/>
      <c r="C236" s="11"/>
      <c r="D236" s="10"/>
      <c r="F236" s="13" t="str">
        <f>IF(A236='بطاقة العقد'!$B$1,ROW(),"")</f>
        <v/>
      </c>
    </row>
    <row r="237" spans="1:6">
      <c r="A237" s="10"/>
      <c r="B237" s="10"/>
      <c r="C237" s="11"/>
      <c r="D237" s="10"/>
      <c r="F237" s="13" t="str">
        <f>IF(A237='بطاقة العقد'!$B$1,ROW(),"")</f>
        <v/>
      </c>
    </row>
    <row r="238" spans="1:6">
      <c r="A238" s="10"/>
      <c r="B238" s="10"/>
      <c r="C238" s="11"/>
      <c r="D238" s="10"/>
      <c r="F238" s="13" t="str">
        <f>IF(A238='بطاقة العقد'!$B$1,ROW(),"")</f>
        <v/>
      </c>
    </row>
    <row r="239" spans="1:6">
      <c r="A239" s="10"/>
      <c r="B239" s="10"/>
      <c r="C239" s="11"/>
      <c r="D239" s="10"/>
      <c r="F239" s="13" t="str">
        <f>IF(A239='بطاقة العقد'!$B$1,ROW(),"")</f>
        <v/>
      </c>
    </row>
    <row r="240" spans="1:6">
      <c r="A240" s="10"/>
      <c r="B240" s="10"/>
      <c r="C240" s="11"/>
      <c r="D240" s="10"/>
      <c r="F240" s="13" t="str">
        <f>IF(A240='بطاقة العقد'!$B$1,ROW(),"")</f>
        <v/>
      </c>
    </row>
    <row r="241" spans="1:6">
      <c r="A241" s="10"/>
      <c r="B241" s="10"/>
      <c r="C241" s="11"/>
      <c r="D241" s="10"/>
      <c r="F241" s="13" t="str">
        <f>IF(A241='بطاقة العقد'!$B$1,ROW(),"")</f>
        <v/>
      </c>
    </row>
    <row r="242" spans="1:6">
      <c r="A242" s="10"/>
      <c r="B242" s="10"/>
      <c r="C242" s="11"/>
      <c r="D242" s="10"/>
      <c r="F242" s="13" t="str">
        <f>IF(A242='بطاقة العقد'!$B$1,ROW(),"")</f>
        <v/>
      </c>
    </row>
    <row r="243" spans="1:6">
      <c r="A243" s="10"/>
      <c r="B243" s="10"/>
      <c r="C243" s="11"/>
      <c r="D243" s="10"/>
      <c r="F243" s="13" t="str">
        <f>IF(A243='بطاقة العقد'!$B$1,ROW(),"")</f>
        <v/>
      </c>
    </row>
    <row r="244" spans="1:6">
      <c r="A244" s="10"/>
      <c r="B244" s="10"/>
      <c r="C244" s="11"/>
      <c r="D244" s="10"/>
      <c r="F244" s="13" t="str">
        <f>IF(A244='بطاقة العقد'!$B$1,ROW(),"")</f>
        <v/>
      </c>
    </row>
    <row r="245" spans="1:6">
      <c r="A245" s="10"/>
      <c r="B245" s="10"/>
      <c r="C245" s="11"/>
      <c r="D245" s="10"/>
      <c r="F245" s="13" t="str">
        <f>IF(A245='بطاقة العقد'!$B$1,ROW(),"")</f>
        <v/>
      </c>
    </row>
    <row r="246" spans="1:6">
      <c r="A246" s="10"/>
      <c r="B246" s="10"/>
      <c r="C246" s="11"/>
      <c r="D246" s="10"/>
      <c r="F246" s="13" t="str">
        <f>IF(A246='بطاقة العقد'!$B$1,ROW(),"")</f>
        <v/>
      </c>
    </row>
    <row r="247" spans="1:6">
      <c r="A247" s="10"/>
      <c r="B247" s="10"/>
      <c r="C247" s="11"/>
      <c r="D247" s="10"/>
      <c r="F247" s="13" t="str">
        <f>IF(A247='بطاقة العقد'!$B$1,ROW(),"")</f>
        <v/>
      </c>
    </row>
    <row r="248" spans="1:6">
      <c r="A248" s="10"/>
      <c r="B248" s="10"/>
      <c r="C248" s="11"/>
      <c r="D248" s="10"/>
      <c r="F248" s="13" t="str">
        <f>IF(A248='بطاقة العقد'!$B$1,ROW(),"")</f>
        <v/>
      </c>
    </row>
    <row r="249" spans="1:6">
      <c r="A249" s="10"/>
      <c r="B249" s="10"/>
      <c r="C249" s="11"/>
      <c r="D249" s="10"/>
      <c r="F249" s="13" t="str">
        <f>IF(A249='بطاقة العقد'!$B$1,ROW(),"")</f>
        <v/>
      </c>
    </row>
    <row r="250" spans="1:6">
      <c r="A250" s="10"/>
      <c r="B250" s="10"/>
      <c r="C250" s="11"/>
      <c r="D250" s="10"/>
      <c r="F250" s="13" t="str">
        <f>IF(A250='بطاقة العقد'!$B$1,ROW(),"")</f>
        <v/>
      </c>
    </row>
    <row r="251" spans="1:6">
      <c r="A251" s="10"/>
      <c r="B251" s="10"/>
      <c r="C251" s="11"/>
      <c r="D251" s="10"/>
      <c r="F251" s="13" t="str">
        <f>IF(A251='بطاقة العقد'!$B$1,ROW(),"")</f>
        <v/>
      </c>
    </row>
    <row r="252" spans="1:6">
      <c r="A252" s="10"/>
      <c r="B252" s="10"/>
      <c r="C252" s="11"/>
      <c r="D252" s="10"/>
      <c r="F252" s="13" t="str">
        <f>IF(A252='بطاقة العقد'!$B$1,ROW(),"")</f>
        <v/>
      </c>
    </row>
    <row r="253" spans="1:6">
      <c r="A253" s="10"/>
      <c r="B253" s="10"/>
      <c r="C253" s="11"/>
      <c r="D253" s="10"/>
      <c r="F253" s="13" t="str">
        <f>IF(A253='بطاقة العقد'!$B$1,ROW(),"")</f>
        <v/>
      </c>
    </row>
    <row r="254" spans="1:6">
      <c r="A254" s="10"/>
      <c r="B254" s="10"/>
      <c r="C254" s="11"/>
      <c r="D254" s="10"/>
      <c r="F254" s="13" t="str">
        <f>IF(A254='بطاقة العقد'!$B$1,ROW(),"")</f>
        <v/>
      </c>
    </row>
    <row r="255" spans="1:6">
      <c r="A255" s="10"/>
      <c r="B255" s="10"/>
      <c r="C255" s="11"/>
      <c r="D255" s="10"/>
      <c r="F255" s="13" t="str">
        <f>IF(A255='بطاقة العقد'!$B$1,ROW(),"")</f>
        <v/>
      </c>
    </row>
    <row r="256" spans="1:6">
      <c r="A256" s="10"/>
      <c r="B256" s="10"/>
      <c r="C256" s="11"/>
      <c r="D256" s="10"/>
      <c r="F256" s="13" t="str">
        <f>IF(A256='بطاقة العقد'!$B$1,ROW(),"")</f>
        <v/>
      </c>
    </row>
    <row r="257" spans="1:6">
      <c r="A257" s="10"/>
      <c r="B257" s="10"/>
      <c r="C257" s="11"/>
      <c r="D257" s="10"/>
      <c r="F257" s="13" t="str">
        <f>IF(A257='بطاقة العقد'!$B$1,ROW(),"")</f>
        <v/>
      </c>
    </row>
    <row r="258" spans="1:6">
      <c r="A258" s="10"/>
      <c r="B258" s="10"/>
      <c r="C258" s="11"/>
      <c r="D258" s="10"/>
      <c r="F258" s="13" t="str">
        <f>IF(A258='بطاقة العقد'!$B$1,ROW(),"")</f>
        <v/>
      </c>
    </row>
    <row r="259" spans="1:6">
      <c r="A259" s="10"/>
      <c r="B259" s="10"/>
      <c r="C259" s="11"/>
      <c r="D259" s="10"/>
      <c r="F259" s="13" t="str">
        <f>IF(A259='بطاقة العقد'!$B$1,ROW(),"")</f>
        <v/>
      </c>
    </row>
    <row r="260" spans="1:6">
      <c r="A260" s="10"/>
      <c r="B260" s="10"/>
      <c r="C260" s="11"/>
      <c r="D260" s="10"/>
      <c r="F260" s="13" t="str">
        <f>IF(A260='بطاقة العقد'!$B$1,ROW(),"")</f>
        <v/>
      </c>
    </row>
    <row r="261" spans="1:6">
      <c r="A261" s="10"/>
      <c r="B261" s="10"/>
      <c r="C261" s="11"/>
      <c r="D261" s="10"/>
      <c r="F261" s="13" t="str">
        <f>IF(A261='بطاقة العقد'!$B$1,ROW(),"")</f>
        <v/>
      </c>
    </row>
    <row r="262" spans="1:6">
      <c r="A262" s="10"/>
      <c r="B262" s="10"/>
      <c r="C262" s="11"/>
      <c r="D262" s="10"/>
      <c r="F262" s="13" t="str">
        <f>IF(A262='بطاقة العقد'!$B$1,ROW(),"")</f>
        <v/>
      </c>
    </row>
    <row r="263" spans="1:6">
      <c r="A263" s="10"/>
      <c r="B263" s="10"/>
      <c r="C263" s="11"/>
      <c r="D263" s="10"/>
      <c r="F263" s="13" t="str">
        <f>IF(A263='بطاقة العقد'!$B$1,ROW(),"")</f>
        <v/>
      </c>
    </row>
    <row r="264" spans="1:6">
      <c r="A264" s="10"/>
      <c r="B264" s="10"/>
      <c r="C264" s="11"/>
      <c r="D264" s="10"/>
      <c r="F264" s="13" t="str">
        <f>IF(A264='بطاقة العقد'!$B$1,ROW(),"")</f>
        <v/>
      </c>
    </row>
    <row r="265" spans="1:6">
      <c r="A265" s="10"/>
      <c r="B265" s="10"/>
      <c r="C265" s="11"/>
      <c r="D265" s="10"/>
      <c r="F265" s="13" t="str">
        <f>IF(A265='بطاقة العقد'!$B$1,ROW(),"")</f>
        <v/>
      </c>
    </row>
    <row r="266" spans="1:6">
      <c r="A266" s="10"/>
      <c r="B266" s="10"/>
      <c r="C266" s="11"/>
      <c r="D266" s="10"/>
      <c r="F266" s="13" t="str">
        <f>IF(A266='بطاقة العقد'!$B$1,ROW(),"")</f>
        <v/>
      </c>
    </row>
    <row r="267" spans="1:6">
      <c r="A267" s="10"/>
      <c r="B267" s="10"/>
      <c r="C267" s="11"/>
      <c r="D267" s="10"/>
      <c r="F267" s="13" t="str">
        <f>IF(A267='بطاقة العقد'!$B$1,ROW(),"")</f>
        <v/>
      </c>
    </row>
    <row r="268" spans="1:6">
      <c r="A268" s="10"/>
      <c r="B268" s="10"/>
      <c r="C268" s="11"/>
      <c r="D268" s="10"/>
      <c r="F268" s="13" t="str">
        <f>IF(A268='بطاقة العقد'!$B$1,ROW(),"")</f>
        <v/>
      </c>
    </row>
    <row r="269" spans="1:6">
      <c r="A269" s="10"/>
      <c r="B269" s="10"/>
      <c r="C269" s="11"/>
      <c r="D269" s="10"/>
      <c r="F269" s="13" t="str">
        <f>IF(A269='بطاقة العقد'!$B$1,ROW(),"")</f>
        <v/>
      </c>
    </row>
    <row r="270" spans="1:6">
      <c r="A270" s="10"/>
      <c r="B270" s="10"/>
      <c r="C270" s="11"/>
      <c r="D270" s="10"/>
      <c r="F270" s="13" t="str">
        <f>IF(A270='بطاقة العقد'!$B$1,ROW(),"")</f>
        <v/>
      </c>
    </row>
    <row r="271" spans="1:6">
      <c r="A271" s="10"/>
      <c r="B271" s="10"/>
      <c r="C271" s="11"/>
      <c r="D271" s="10"/>
      <c r="F271" s="13" t="str">
        <f>IF(A271='بطاقة العقد'!$B$1,ROW(),"")</f>
        <v/>
      </c>
    </row>
    <row r="272" spans="1:6">
      <c r="A272" s="10"/>
      <c r="B272" s="10"/>
      <c r="C272" s="11"/>
      <c r="D272" s="10"/>
      <c r="F272" s="13" t="str">
        <f>IF(A272='بطاقة العقد'!$B$1,ROW(),"")</f>
        <v/>
      </c>
    </row>
    <row r="273" spans="1:6">
      <c r="A273" s="10"/>
      <c r="B273" s="10"/>
      <c r="C273" s="11"/>
      <c r="D273" s="10"/>
      <c r="F273" s="13" t="str">
        <f>IF(A273='بطاقة العقد'!$B$1,ROW(),"")</f>
        <v/>
      </c>
    </row>
    <row r="274" spans="1:6">
      <c r="A274" s="10"/>
      <c r="B274" s="10"/>
      <c r="C274" s="11"/>
      <c r="D274" s="10"/>
      <c r="F274" s="13" t="str">
        <f>IF(A274='بطاقة العقد'!$B$1,ROW(),"")</f>
        <v/>
      </c>
    </row>
    <row r="275" spans="1:6">
      <c r="A275" s="10"/>
      <c r="B275" s="10"/>
      <c r="C275" s="11"/>
      <c r="D275" s="10"/>
      <c r="F275" s="13" t="str">
        <f>IF(A275='بطاقة العقد'!$B$1,ROW(),"")</f>
        <v/>
      </c>
    </row>
    <row r="276" spans="1:6">
      <c r="A276" s="10"/>
      <c r="B276" s="10"/>
      <c r="C276" s="11"/>
      <c r="D276" s="10"/>
      <c r="F276" s="13" t="str">
        <f>IF(A276='بطاقة العقد'!$B$1,ROW(),"")</f>
        <v/>
      </c>
    </row>
    <row r="277" spans="1:6">
      <c r="A277" s="10"/>
      <c r="B277" s="10"/>
      <c r="C277" s="11"/>
      <c r="D277" s="10"/>
      <c r="F277" s="13" t="str">
        <f>IF(A277='بطاقة العقد'!$B$1,ROW(),"")</f>
        <v/>
      </c>
    </row>
    <row r="278" spans="1:6">
      <c r="A278" s="10"/>
      <c r="B278" s="10"/>
      <c r="C278" s="11"/>
      <c r="D278" s="10"/>
      <c r="F278" s="13" t="str">
        <f>IF(A278='بطاقة العقد'!$B$1,ROW(),"")</f>
        <v/>
      </c>
    </row>
    <row r="279" spans="1:6">
      <c r="A279" s="10"/>
      <c r="B279" s="10"/>
      <c r="C279" s="11"/>
      <c r="D279" s="10"/>
      <c r="F279" s="13" t="str">
        <f>IF(A279='بطاقة العقد'!$B$1,ROW(),"")</f>
        <v/>
      </c>
    </row>
    <row r="280" spans="1:6">
      <c r="A280" s="10"/>
      <c r="B280" s="10"/>
      <c r="C280" s="11"/>
      <c r="D280" s="10"/>
      <c r="F280" s="13" t="str">
        <f>IF(A280='بطاقة العقد'!$B$1,ROW(),"")</f>
        <v/>
      </c>
    </row>
    <row r="281" spans="1:6">
      <c r="A281" s="10"/>
      <c r="B281" s="10"/>
      <c r="C281" s="11"/>
      <c r="D281" s="10"/>
      <c r="F281" s="13" t="str">
        <f>IF(A281='بطاقة العقد'!$B$1,ROW(),"")</f>
        <v/>
      </c>
    </row>
    <row r="282" spans="1:6">
      <c r="A282" s="10"/>
      <c r="B282" s="10"/>
      <c r="C282" s="11"/>
      <c r="D282" s="10"/>
      <c r="F282" s="13" t="str">
        <f>IF(A282='بطاقة العقد'!$B$1,ROW(),"")</f>
        <v/>
      </c>
    </row>
    <row r="283" spans="1:6">
      <c r="A283" s="10"/>
      <c r="B283" s="10"/>
      <c r="C283" s="11"/>
      <c r="D283" s="10"/>
      <c r="F283" s="13" t="str">
        <f>IF(A283='بطاقة العقد'!$B$1,ROW(),"")</f>
        <v/>
      </c>
    </row>
    <row r="284" spans="1:6">
      <c r="A284" s="10"/>
      <c r="B284" s="10"/>
      <c r="C284" s="11"/>
      <c r="D284" s="10"/>
      <c r="F284" s="13" t="str">
        <f>IF(A284='بطاقة العقد'!$B$1,ROW(),"")</f>
        <v/>
      </c>
    </row>
    <row r="285" spans="1:6">
      <c r="A285" s="10"/>
      <c r="B285" s="10"/>
      <c r="C285" s="11"/>
      <c r="D285" s="10"/>
      <c r="F285" s="13" t="str">
        <f>IF(A285='بطاقة العقد'!$B$1,ROW(),"")</f>
        <v/>
      </c>
    </row>
    <row r="286" spans="1:6">
      <c r="A286" s="10"/>
      <c r="B286" s="10"/>
      <c r="C286" s="11"/>
      <c r="D286" s="10"/>
      <c r="F286" s="13" t="str">
        <f>IF(A286='بطاقة العقد'!$B$1,ROW(),"")</f>
        <v/>
      </c>
    </row>
    <row r="287" spans="1:6">
      <c r="A287" s="10"/>
      <c r="B287" s="10"/>
      <c r="C287" s="11"/>
      <c r="D287" s="10"/>
      <c r="F287" s="13" t="str">
        <f>IF(A287='بطاقة العقد'!$B$1,ROW(),"")</f>
        <v/>
      </c>
    </row>
    <row r="288" spans="1:6">
      <c r="A288" s="10"/>
      <c r="B288" s="10"/>
      <c r="C288" s="11"/>
      <c r="D288" s="10"/>
      <c r="F288" s="13" t="str">
        <f>IF(A288='بطاقة العقد'!$B$1,ROW(),"")</f>
        <v/>
      </c>
    </row>
    <row r="289" spans="1:6">
      <c r="A289" s="10"/>
      <c r="B289" s="10"/>
      <c r="C289" s="11"/>
      <c r="D289" s="10"/>
      <c r="F289" s="13" t="str">
        <f>IF(A289='بطاقة العقد'!$B$1,ROW(),"")</f>
        <v/>
      </c>
    </row>
    <row r="290" spans="1:6">
      <c r="A290" s="10"/>
      <c r="B290" s="10"/>
      <c r="C290" s="11"/>
      <c r="D290" s="10"/>
      <c r="F290" s="13" t="str">
        <f>IF(A290='بطاقة العقد'!$B$1,ROW(),"")</f>
        <v/>
      </c>
    </row>
    <row r="291" spans="1:6">
      <c r="A291" s="10"/>
      <c r="B291" s="10"/>
      <c r="C291" s="11"/>
      <c r="D291" s="10"/>
      <c r="F291" s="13" t="str">
        <f>IF(A291='بطاقة العقد'!$B$1,ROW(),"")</f>
        <v/>
      </c>
    </row>
    <row r="292" spans="1:6">
      <c r="A292" s="10"/>
      <c r="B292" s="10"/>
      <c r="C292" s="11"/>
      <c r="D292" s="10"/>
      <c r="F292" s="13" t="str">
        <f>IF(A292='بطاقة العقد'!$B$1,ROW(),"")</f>
        <v/>
      </c>
    </row>
    <row r="293" spans="1:6">
      <c r="A293" s="10"/>
      <c r="B293" s="10"/>
      <c r="C293" s="11"/>
      <c r="D293" s="10"/>
      <c r="F293" s="13" t="str">
        <f>IF(A293='بطاقة العقد'!$B$1,ROW(),"")</f>
        <v/>
      </c>
    </row>
    <row r="294" spans="1:6">
      <c r="A294" s="10"/>
      <c r="B294" s="10"/>
      <c r="C294" s="11"/>
      <c r="D294" s="10"/>
      <c r="F294" s="13" t="str">
        <f>IF(A294='بطاقة العقد'!$B$1,ROW(),"")</f>
        <v/>
      </c>
    </row>
    <row r="295" spans="1:6">
      <c r="A295" s="10"/>
      <c r="B295" s="10"/>
      <c r="C295" s="11"/>
      <c r="D295" s="10"/>
      <c r="F295" s="13" t="str">
        <f>IF(A295='بطاقة العقد'!$B$1,ROW(),"")</f>
        <v/>
      </c>
    </row>
    <row r="296" spans="1:6">
      <c r="A296" s="10"/>
      <c r="B296" s="10"/>
      <c r="C296" s="11"/>
      <c r="D296" s="10"/>
      <c r="F296" s="13" t="str">
        <f>IF(A296='بطاقة العقد'!$B$1,ROW(),"")</f>
        <v/>
      </c>
    </row>
    <row r="297" spans="1:6">
      <c r="A297" s="10"/>
      <c r="B297" s="10"/>
      <c r="C297" s="11"/>
      <c r="D297" s="10"/>
      <c r="F297" s="13" t="str">
        <f>IF(A297='بطاقة العقد'!$B$1,ROW(),"")</f>
        <v/>
      </c>
    </row>
    <row r="298" spans="1:6">
      <c r="A298" s="10"/>
      <c r="B298" s="10"/>
      <c r="C298" s="11"/>
      <c r="D298" s="10"/>
      <c r="F298" s="13" t="str">
        <f>IF(A298='بطاقة العقد'!$B$1,ROW(),"")</f>
        <v/>
      </c>
    </row>
    <row r="299" spans="1:6">
      <c r="A299" s="10"/>
      <c r="B299" s="10"/>
      <c r="C299" s="11"/>
      <c r="D299" s="10"/>
      <c r="F299" s="13" t="str">
        <f>IF(A299='بطاقة العقد'!$B$1,ROW(),"")</f>
        <v/>
      </c>
    </row>
    <row r="300" spans="1:6">
      <c r="A300" s="10"/>
      <c r="B300" s="10"/>
      <c r="C300" s="11"/>
      <c r="D300" s="10"/>
      <c r="F300" s="13" t="str">
        <f>IF(A300='بطاقة العقد'!$B$1,ROW(),"")</f>
        <v/>
      </c>
    </row>
    <row r="301" spans="1:6">
      <c r="A301" s="10"/>
      <c r="B301" s="10"/>
      <c r="C301" s="11"/>
      <c r="D301" s="10"/>
      <c r="F301" s="13" t="str">
        <f>IF(A301='بطاقة العقد'!$B$1,ROW(),"")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6"/>
  <sheetViews>
    <sheetView rightToLeft="1" zoomScaleNormal="100" workbookViewId="0"/>
  </sheetViews>
  <sheetFormatPr defaultColWidth="8.6640625" defaultRowHeight="14.4"/>
  <cols>
    <col min="1" max="1" width="26" customWidth="1"/>
    <col min="2" max="2" width="34" customWidth="1"/>
    <col min="3" max="3" width="20" customWidth="1"/>
    <col min="4" max="4" width="34" customWidth="1"/>
  </cols>
  <sheetData>
    <row r="1" spans="1:3" ht="15.6">
      <c r="A1" s="14" t="s">
        <v>98</v>
      </c>
      <c r="B1" s="15" t="s">
        <v>55</v>
      </c>
      <c r="C1" s="16" t="s">
        <v>99</v>
      </c>
    </row>
    <row r="3" spans="1:3">
      <c r="A3" s="17" t="s">
        <v>19</v>
      </c>
      <c r="B3" s="18" t="str">
        <f>IFERROR(IF(INDEX(العقود!$D$2:$D$501,MATCH($B$1,العقود!$B$2:$B$501,0))="","—",INDEX(العقود!$D$2:$D$501,MATCH($B$1,العقود!$B$2:$B$501,0))),"غير موجود")</f>
        <v>غير موجود</v>
      </c>
    </row>
    <row r="4" spans="1:3">
      <c r="A4" s="17" t="s">
        <v>20</v>
      </c>
      <c r="B4" s="18" t="str">
        <f>IFERROR(IF(INDEX(العقود!$E$2:$E$501,MATCH($B$1,العقود!$B$2:$B$501,0))="","—",INDEX(العقود!$E$2:$E$501,MATCH($B$1,العقود!$B$2:$B$501,0))),"غير موجود")</f>
        <v>غير موجود</v>
      </c>
    </row>
    <row r="5" spans="1:3">
      <c r="A5" s="17" t="s">
        <v>100</v>
      </c>
      <c r="B5" s="18" t="str">
        <f>IFERROR(IF(INDEX(العقود!$F$2:$F$501,MATCH($B$1,العقود!$B$2:$B$501,0))="","—",INDEX(العقود!$F$2:$F$501,MATCH($B$1,العقود!$B$2:$B$501,0))),"غير موجود")</f>
        <v>غير موجود</v>
      </c>
    </row>
    <row r="6" spans="1:3">
      <c r="A6" s="17" t="s">
        <v>18</v>
      </c>
      <c r="B6" s="18" t="str">
        <f>IFERROR(IF(INDEX(العقود!$C$2:$C$501,MATCH($B$1,العقود!$B$2:$B$501,0))="","—",INDEX(العقود!$C$2:$C$501,MATCH($B$1,العقود!$B$2:$B$501,0))),"غير موجود")</f>
        <v>غير موجود</v>
      </c>
    </row>
    <row r="7" spans="1:3">
      <c r="A7" s="17" t="s">
        <v>22</v>
      </c>
      <c r="B7" s="19" t="str">
        <f>IFERROR(IF(INDEX(العقود!$G$2:$G$501,MATCH($B$1,العقود!$B$2:$B$501,0))="","—",INDEX(العقود!$G$2:$G$501,MATCH($B$1,العقود!$B$2:$B$501,0))),"غير موجود")</f>
        <v>غير موجود</v>
      </c>
    </row>
    <row r="8" spans="1:3">
      <c r="A8" s="17" t="s">
        <v>23</v>
      </c>
      <c r="B8" s="19" t="str">
        <f>IFERROR(IF(INDEX(العقود!$H$2:$H$501,MATCH($B$1,العقود!$B$2:$B$501,0))="","—",INDEX(العقود!$H$2:$H$501,MATCH($B$1,العقود!$B$2:$B$501,0))),"غير موجود")</f>
        <v>غير موجود</v>
      </c>
    </row>
    <row r="9" spans="1:3">
      <c r="A9" s="17" t="s">
        <v>24</v>
      </c>
      <c r="B9" s="19" t="str">
        <f>IFERROR(IF(INDEX(العقود!$I$2:$I$501,MATCH($B$1,العقود!$B$2:$B$501,0))="","—",INDEX(العقود!$I$2:$I$501,MATCH($B$1,العقود!$B$2:$B$501,0))),"غير موجود")</f>
        <v>غير موجود</v>
      </c>
    </row>
    <row r="10" spans="1:3">
      <c r="A10" s="17" t="s">
        <v>101</v>
      </c>
      <c r="B10" s="19" t="str">
        <f>IFERROR(IF(INDEX(العقود!$J$2:$J$501,MATCH($B$1,العقود!$B$2:$B$501,0))="","—",INDEX(العقود!$J$2:$J$501,MATCH($B$1,العقود!$B$2:$B$501,0))),"غير موجود")</f>
        <v>غير موجود</v>
      </c>
    </row>
    <row r="11" spans="1:3">
      <c r="A11" s="17" t="s">
        <v>26</v>
      </c>
      <c r="B11" s="18" t="str">
        <f>IFERROR(IF(INDEX(العقود!$K$2:$K$501,MATCH($B$1,العقود!$B$2:$B$501,0))="","—",INDEX(العقود!$K$2:$K$501,MATCH($B$1,العقود!$B$2:$B$501,0))),"غير موجود")</f>
        <v>غير موجود</v>
      </c>
    </row>
    <row r="12" spans="1:3">
      <c r="A12" s="17" t="s">
        <v>34</v>
      </c>
      <c r="B12" s="18" t="str">
        <f>IFERROR(IF(INDEX(العقود!$S$2:$S$501,MATCH($B$1,العقود!$B$2:$B$501,0))="","—",INDEX(العقود!$S$2:$S$501,MATCH($B$1,العقود!$B$2:$B$501,0))),"غير موجود")</f>
        <v>غير موجود</v>
      </c>
    </row>
    <row r="13" spans="1:3">
      <c r="A13" s="17" t="s">
        <v>33</v>
      </c>
      <c r="B13" s="18" t="str">
        <f>IFERROR(IF(INDEX(العقود!$R$2:$R$501,MATCH($B$1,العقود!$B$2:$B$501,0))="","—",INDEX(العقود!$R$2:$R$501,MATCH($B$1,العقود!$B$2:$B$501,0))),"غير موجود")</f>
        <v>غير موجود</v>
      </c>
    </row>
    <row r="14" spans="1:3">
      <c r="A14" s="17" t="s">
        <v>36</v>
      </c>
      <c r="B14" s="18" t="str">
        <f>IFERROR(IF(INDEX(العقود!$U$2:$U$501,MATCH($B$1,العقود!$B$2:$B$501,0))="","—",INDEX(العقود!$U$2:$U$501,MATCH($B$1,العقود!$B$2:$B$501,0))),"غير موجود")</f>
        <v>غير موجود</v>
      </c>
    </row>
    <row r="15" spans="1:3">
      <c r="A15" s="17" t="s">
        <v>27</v>
      </c>
      <c r="B15" s="20" t="str">
        <f>IFERROR(IF(INDEX(العقود!$L$2:$L$501,MATCH($B$1,العقود!$B$2:$B$501,0))="","—",INDEX(العقود!$L$2:$L$501,MATCH($B$1,العقود!$B$2:$B$501,0))),"غير موجود")</f>
        <v>غير موجود</v>
      </c>
    </row>
    <row r="16" spans="1:3">
      <c r="A16" s="17" t="s">
        <v>28</v>
      </c>
      <c r="B16" s="18" t="str">
        <f>IFERROR(IF(INDEX(العقود!$M$2:$M$501,MATCH($B$1,العقود!$B$2:$B$501,0))="","—",INDEX(العقود!$M$2:$M$501,MATCH($B$1,العقود!$B$2:$B$501,0))),"غير موجود")</f>
        <v>غير موجود</v>
      </c>
    </row>
    <row r="17" spans="1:3">
      <c r="A17" s="17" t="s">
        <v>29</v>
      </c>
      <c r="B17" s="18" t="str">
        <f>IFERROR(IF(INDEX(العقود!$N$2:$N$501,MATCH($B$1,العقود!$B$2:$B$501,0))="","—",INDEX(العقود!$N$2:$N$501,MATCH($B$1,العقود!$B$2:$B$501,0))),"غير موجود")</f>
        <v>غير موجود</v>
      </c>
    </row>
    <row r="18" spans="1:3">
      <c r="A18" s="17" t="s">
        <v>30</v>
      </c>
      <c r="B18" s="18" t="str">
        <f>IFERROR(IF(INDEX(العقود!$O$2:$O$501,MATCH($B$1,العقود!$B$2:$B$501,0))="","—",INDEX(العقود!$O$2:$O$501,MATCH($B$1,العقود!$B$2:$B$501,0))),"غير موجود")</f>
        <v>غير موجود</v>
      </c>
    </row>
    <row r="19" spans="1:3">
      <c r="A19" s="17" t="s">
        <v>31</v>
      </c>
      <c r="B19" s="18" t="str">
        <f>IFERROR(IF(INDEX(العقود!$P$2:$P$501,MATCH($B$1,العقود!$B$2:$B$501,0))="","—",INDEX(العقود!$P$2:$P$501,MATCH($B$1,العقود!$B$2:$B$501,0))),"غير موجود")</f>
        <v>غير موجود</v>
      </c>
    </row>
    <row r="20" spans="1:3">
      <c r="A20" s="17" t="s">
        <v>102</v>
      </c>
      <c r="B20" s="18" t="str">
        <f>IFERROR(IF(INDEX(العقود!$V$2:$V$501,MATCH($B$1,العقود!$B$2:$B$501,0))="","—",INDEX(العقود!$V$2:$V$501,MATCH($B$1,العقود!$B$2:$B$501,0))),"غير موجود")</f>
        <v>غير موجود</v>
      </c>
    </row>
    <row r="21" spans="1:3">
      <c r="A21" s="17" t="s">
        <v>103</v>
      </c>
      <c r="B21" s="18" t="str">
        <f>IFERROR(IF(INDEX(العقود!$W$2:$W$501,MATCH($B$1,العقود!$B$2:$B$501,0))="","—",INDEX(العقود!$W$2:$W$501,MATCH($B$1,العقود!$B$2:$B$501,0))),"غير موجود")</f>
        <v>غير موجود</v>
      </c>
    </row>
    <row r="22" spans="1:3">
      <c r="A22" s="17" t="s">
        <v>104</v>
      </c>
      <c r="B22" s="21" t="str">
        <f>IF(COUNTIF(التمديدات!$A$2:$A$301,$B$1)=0,"لا يوجد",_xlfn.MAXIFS(التمديدات!$B$2:$B$301,التمديدات!$A$2:$A$301,$B$1))</f>
        <v>لا يوجد</v>
      </c>
    </row>
    <row r="24" spans="1:3" ht="15.6">
      <c r="A24" s="14" t="s">
        <v>105</v>
      </c>
    </row>
    <row r="25" spans="1:3">
      <c r="A25" s="6" t="s">
        <v>106</v>
      </c>
      <c r="B25" s="6" t="s">
        <v>107</v>
      </c>
      <c r="C25" s="6" t="s">
        <v>88</v>
      </c>
    </row>
    <row r="26" spans="1:3">
      <c r="A26" s="3" t="str">
        <f>IFERROR(INDEX(التمديدات!$B$1:$B$301,SMALL(التمديدات!$F$2:$F$301,1)),"")</f>
        <v/>
      </c>
      <c r="B26" s="3" t="str">
        <f>IFERROR(INDEX(التمديدات!$C$1:$C$301,SMALL(التمديدات!$F$2:$F$301,1)),"")</f>
        <v/>
      </c>
      <c r="C26" s="2" t="str">
        <f>IFERROR(INDEX(التمديدات!$D$1:$D$301,SMALL(التمديدات!$F$2:$F$301,1)),"")</f>
        <v/>
      </c>
    </row>
    <row r="27" spans="1:3">
      <c r="A27" s="3" t="str">
        <f>IFERROR(INDEX(التمديدات!$B$1:$B$301,SMALL(التمديدات!$F$2:$F$301,2)),"")</f>
        <v/>
      </c>
      <c r="B27" s="3" t="str">
        <f>IFERROR(INDEX(التمديدات!$C$1:$C$301,SMALL(التمديدات!$F$2:$F$301,2)),"")</f>
        <v/>
      </c>
      <c r="C27" s="2" t="str">
        <f>IFERROR(INDEX(التمديدات!$D$1:$D$301,SMALL(التمديدات!$F$2:$F$301,2)),"")</f>
        <v/>
      </c>
    </row>
    <row r="28" spans="1:3">
      <c r="A28" s="3" t="str">
        <f>IFERROR(INDEX(التمديدات!$B$1:$B$301,SMALL(التمديدات!$F$2:$F$301,3)),"")</f>
        <v/>
      </c>
      <c r="B28" s="3" t="str">
        <f>IFERROR(INDEX(التمديدات!$C$1:$C$301,SMALL(التمديدات!$F$2:$F$301,3)),"")</f>
        <v/>
      </c>
      <c r="C28" s="2" t="str">
        <f>IFERROR(INDEX(التمديدات!$D$1:$D$301,SMALL(التمديدات!$F$2:$F$301,3)),"")</f>
        <v/>
      </c>
    </row>
    <row r="29" spans="1:3">
      <c r="A29" s="3" t="str">
        <f>IFERROR(INDEX(التمديدات!$B$1:$B$301,SMALL(التمديدات!$F$2:$F$301,4)),"")</f>
        <v/>
      </c>
      <c r="B29" s="3" t="str">
        <f>IFERROR(INDEX(التمديدات!$C$1:$C$301,SMALL(التمديدات!$F$2:$F$301,4)),"")</f>
        <v/>
      </c>
      <c r="C29" s="2" t="str">
        <f>IFERROR(INDEX(التمديدات!$D$1:$D$301,SMALL(التمديدات!$F$2:$F$301,4)),"")</f>
        <v/>
      </c>
    </row>
    <row r="30" spans="1:3">
      <c r="A30" s="3" t="str">
        <f>IFERROR(INDEX(التمديدات!$B$1:$B$301,SMALL(التمديدات!$F$2:$F$301,5)),"")</f>
        <v/>
      </c>
      <c r="B30" s="3" t="str">
        <f>IFERROR(INDEX(التمديدات!$C$1:$C$301,SMALL(التمديدات!$F$2:$F$301,5)),"")</f>
        <v/>
      </c>
      <c r="C30" s="2" t="str">
        <f>IFERROR(INDEX(التمديدات!$D$1:$D$301,SMALL(التمديدات!$F$2:$F$301,5)),"")</f>
        <v/>
      </c>
    </row>
    <row r="31" spans="1:3">
      <c r="A31" s="3" t="str">
        <f>IFERROR(INDEX(التمديدات!$B$1:$B$301,SMALL(التمديدات!$F$2:$F$301,6)),"")</f>
        <v/>
      </c>
      <c r="B31" s="3" t="str">
        <f>IFERROR(INDEX(التمديدات!$C$1:$C$301,SMALL(التمديدات!$F$2:$F$301,6)),"")</f>
        <v/>
      </c>
      <c r="C31" s="2" t="str">
        <f>IFERROR(INDEX(التمديدات!$D$1:$D$301,SMALL(التمديدات!$F$2:$F$301,6)),"")</f>
        <v/>
      </c>
    </row>
    <row r="32" spans="1:3">
      <c r="A32" s="3" t="str">
        <f>IFERROR(INDEX(التمديدات!$B$1:$B$301,SMALL(التمديدات!$F$2:$F$301,7)),"")</f>
        <v/>
      </c>
      <c r="B32" s="3" t="str">
        <f>IFERROR(INDEX(التمديدات!$C$1:$C$301,SMALL(التمديدات!$F$2:$F$301,7)),"")</f>
        <v/>
      </c>
      <c r="C32" s="2" t="str">
        <f>IFERROR(INDEX(التمديدات!$D$1:$D$301,SMALL(التمديدات!$F$2:$F$301,7)),"")</f>
        <v/>
      </c>
    </row>
    <row r="33" spans="1:3">
      <c r="A33" s="3" t="str">
        <f>IFERROR(INDEX(التمديدات!$B$1:$B$301,SMALL(التمديدات!$F$2:$F$301,8)),"")</f>
        <v/>
      </c>
      <c r="B33" s="3" t="str">
        <f>IFERROR(INDEX(التمديدات!$C$1:$C$301,SMALL(التمديدات!$F$2:$F$301,8)),"")</f>
        <v/>
      </c>
      <c r="C33" s="2" t="str">
        <f>IFERROR(INDEX(التمديدات!$D$1:$D$301,SMALL(التمديدات!$F$2:$F$301,8)),"")</f>
        <v/>
      </c>
    </row>
    <row r="35" spans="1:3" ht="15.6">
      <c r="A35" s="14" t="s">
        <v>108</v>
      </c>
    </row>
    <row r="36" spans="1:3">
      <c r="A36" s="6" t="s">
        <v>92</v>
      </c>
      <c r="B36" s="6" t="s">
        <v>109</v>
      </c>
      <c r="C36" s="6" t="s">
        <v>88</v>
      </c>
    </row>
    <row r="37" spans="1:3">
      <c r="A37" s="2" t="str">
        <f>IFERROR(INDEX(المراسلات!$B$1:$B$301,SMALL(المراسلات!$F$2:$F$301,1)),"")</f>
        <v>م/304</v>
      </c>
      <c r="B37" s="3">
        <f>IFERROR(INDEX(المراسلات!$C$1:$C$301,SMALL(المراسلات!$F$2:$F$301,1)),"")</f>
        <v>46206</v>
      </c>
      <c r="C37" s="2" t="str">
        <f>IFERROR(INDEX(المراسلات!$D$1:$D$301,SMALL(المراسلات!$F$2:$F$301,1)),"")</f>
        <v>إخطار بقرب الانتهاء (مثال)</v>
      </c>
    </row>
    <row r="38" spans="1:3">
      <c r="A38" s="2" t="str">
        <f>IFERROR(INDEX(المراسلات!$B$1:$B$301,SMALL(المراسلات!$F$2:$F$301,2)),"")</f>
        <v/>
      </c>
      <c r="B38" s="3" t="str">
        <f>IFERROR(INDEX(المراسلات!$C$1:$C$301,SMALL(المراسلات!$F$2:$F$301,2)),"")</f>
        <v/>
      </c>
      <c r="C38" s="2" t="str">
        <f>IFERROR(INDEX(المراسلات!$D$1:$D$301,SMALL(المراسلات!$F$2:$F$301,2)),"")</f>
        <v/>
      </c>
    </row>
    <row r="39" spans="1:3">
      <c r="A39" s="2" t="str">
        <f>IFERROR(INDEX(المراسلات!$B$1:$B$301,SMALL(المراسلات!$F$2:$F$301,3)),"")</f>
        <v/>
      </c>
      <c r="B39" s="3" t="str">
        <f>IFERROR(INDEX(المراسلات!$C$1:$C$301,SMALL(المراسلات!$F$2:$F$301,3)),"")</f>
        <v/>
      </c>
      <c r="C39" s="2" t="str">
        <f>IFERROR(INDEX(المراسلات!$D$1:$D$301,SMALL(المراسلات!$F$2:$F$301,3)),"")</f>
        <v/>
      </c>
    </row>
    <row r="40" spans="1:3">
      <c r="A40" s="2" t="str">
        <f>IFERROR(INDEX(المراسلات!$B$1:$B$301,SMALL(المراسلات!$F$2:$F$301,4)),"")</f>
        <v/>
      </c>
      <c r="B40" s="3" t="str">
        <f>IFERROR(INDEX(المراسلات!$C$1:$C$301,SMALL(المراسلات!$F$2:$F$301,4)),"")</f>
        <v/>
      </c>
      <c r="C40" s="2" t="str">
        <f>IFERROR(INDEX(المراسلات!$D$1:$D$301,SMALL(المراسلات!$F$2:$F$301,4)),"")</f>
        <v/>
      </c>
    </row>
    <row r="41" spans="1:3">
      <c r="A41" s="2" t="str">
        <f>IFERROR(INDEX(المراسلات!$B$1:$B$301,SMALL(المراسلات!$F$2:$F$301,5)),"")</f>
        <v/>
      </c>
      <c r="B41" s="3" t="str">
        <f>IFERROR(INDEX(المراسلات!$C$1:$C$301,SMALL(المراسلات!$F$2:$F$301,5)),"")</f>
        <v/>
      </c>
      <c r="C41" s="2" t="str">
        <f>IFERROR(INDEX(المراسلات!$D$1:$D$301,SMALL(المراسلات!$F$2:$F$301,5)),"")</f>
        <v/>
      </c>
    </row>
    <row r="42" spans="1:3">
      <c r="A42" s="2" t="str">
        <f>IFERROR(INDEX(المراسلات!$B$1:$B$301,SMALL(المراسلات!$F$2:$F$301,6)),"")</f>
        <v/>
      </c>
      <c r="B42" s="3" t="str">
        <f>IFERROR(INDEX(المراسلات!$C$1:$C$301,SMALL(المراسلات!$F$2:$F$301,6)),"")</f>
        <v/>
      </c>
      <c r="C42" s="2" t="str">
        <f>IFERROR(INDEX(المراسلات!$D$1:$D$301,SMALL(المراسلات!$F$2:$F$301,6)),"")</f>
        <v/>
      </c>
    </row>
    <row r="43" spans="1:3">
      <c r="A43" s="2" t="str">
        <f>IFERROR(INDEX(المراسلات!$B$1:$B$301,SMALL(المراسلات!$F$2:$F$301,7)),"")</f>
        <v/>
      </c>
      <c r="B43" s="3" t="str">
        <f>IFERROR(INDEX(المراسلات!$C$1:$C$301,SMALL(المراسلات!$F$2:$F$301,7)),"")</f>
        <v/>
      </c>
      <c r="C43" s="2" t="str">
        <f>IFERROR(INDEX(المراسلات!$D$1:$D$301,SMALL(المراسلات!$F$2:$F$301,7)),"")</f>
        <v/>
      </c>
    </row>
    <row r="44" spans="1:3">
      <c r="A44" s="2" t="str">
        <f>IFERROR(INDEX(المراسلات!$B$1:$B$301,SMALL(المراسلات!$F$2:$F$301,8)),"")</f>
        <v/>
      </c>
      <c r="B44" s="3" t="str">
        <f>IFERROR(INDEX(المراسلات!$C$1:$C$301,SMALL(المراسلات!$F$2:$F$301,8)),"")</f>
        <v/>
      </c>
      <c r="C44" s="2" t="str">
        <f>IFERROR(INDEX(المراسلات!$D$1:$D$301,SMALL(المراسلات!$F$2:$F$301,8)),"")</f>
        <v/>
      </c>
    </row>
    <row r="45" spans="1:3">
      <c r="A45" s="2" t="str">
        <f>IFERROR(INDEX(المراسلات!$B$1:$B$301,SMALL(المراسلات!$F$2:$F$301,9)),"")</f>
        <v/>
      </c>
      <c r="B45" s="3" t="str">
        <f>IFERROR(INDEX(المراسلات!$C$1:$C$301,SMALL(المراسلات!$F$2:$F$301,9)),"")</f>
        <v/>
      </c>
      <c r="C45" s="2" t="str">
        <f>IFERROR(INDEX(المراسلات!$D$1:$D$301,SMALL(المراسلات!$F$2:$F$301,9)),"")</f>
        <v/>
      </c>
    </row>
    <row r="46" spans="1:3">
      <c r="A46" s="2" t="str">
        <f>IFERROR(INDEX(المراسلات!$B$1:$B$301,SMALL(المراسلات!$F$2:$F$301,10)),"")</f>
        <v/>
      </c>
      <c r="B46" s="3" t="str">
        <f>IFERROR(INDEX(المراسلات!$C$1:$C$301,SMALL(المراسلات!$F$2:$F$301,10)),"")</f>
        <v/>
      </c>
      <c r="C46" s="2" t="str">
        <f>IFERROR(INDEX(المراسلات!$D$1:$D$301,SMALL(المراسلات!$F$2:$F$301,10)),"")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"/>
  <sheetViews>
    <sheetView rightToLeft="1" zoomScaleNormal="100" workbookViewId="0"/>
  </sheetViews>
  <sheetFormatPr defaultColWidth="8.6640625" defaultRowHeight="14.4"/>
  <cols>
    <col min="1" max="2" width="24" customWidth="1"/>
    <col min="4" max="4" width="22" customWidth="1"/>
    <col min="5" max="5" width="10" customWidth="1"/>
    <col min="7" max="7" width="18" customWidth="1"/>
  </cols>
  <sheetData>
    <row r="1" spans="1:7">
      <c r="A1" s="6" t="s">
        <v>110</v>
      </c>
      <c r="B1" s="6" t="s">
        <v>111</v>
      </c>
      <c r="D1" s="6" t="s">
        <v>112</v>
      </c>
      <c r="E1" s="6" t="s">
        <v>27</v>
      </c>
      <c r="G1" s="6" t="s">
        <v>32</v>
      </c>
    </row>
    <row r="2" spans="1:7">
      <c r="A2" s="22" t="s">
        <v>42</v>
      </c>
      <c r="B2" s="22" t="s">
        <v>58</v>
      </c>
      <c r="D2" s="2" t="s">
        <v>113</v>
      </c>
      <c r="E2" s="23">
        <v>90</v>
      </c>
      <c r="G2" s="24" t="s">
        <v>71</v>
      </c>
    </row>
    <row r="3" spans="1:7">
      <c r="A3" s="22" t="s">
        <v>47</v>
      </c>
      <c r="B3" s="22" t="s">
        <v>44</v>
      </c>
      <c r="D3" s="2" t="s">
        <v>114</v>
      </c>
      <c r="E3" s="23">
        <v>60</v>
      </c>
      <c r="G3" s="24" t="s">
        <v>115</v>
      </c>
    </row>
    <row r="4" spans="1:7">
      <c r="A4" s="22" t="s">
        <v>52</v>
      </c>
      <c r="B4" s="22" t="s">
        <v>48</v>
      </c>
      <c r="D4" s="2" t="s">
        <v>116</v>
      </c>
      <c r="E4" s="23">
        <v>30</v>
      </c>
    </row>
    <row r="5" spans="1:7">
      <c r="A5" s="22" t="s">
        <v>61</v>
      </c>
      <c r="B5" s="22" t="s">
        <v>53</v>
      </c>
    </row>
    <row r="6" spans="1:7">
      <c r="A6" s="22" t="s">
        <v>57</v>
      </c>
      <c r="D6" s="2" t="s">
        <v>117</v>
      </c>
    </row>
    <row r="7" spans="1:7">
      <c r="A7" s="22" t="s">
        <v>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1"/>
  <sheetViews>
    <sheetView rightToLeft="1" zoomScaleNormal="100" workbookViewId="0"/>
  </sheetViews>
  <sheetFormatPr defaultColWidth="8.6640625" defaultRowHeight="14.4"/>
  <cols>
    <col min="1" max="1" width="140" customWidth="1"/>
  </cols>
  <sheetData>
    <row r="1" spans="1:1" ht="16.8">
      <c r="A1" s="25" t="s">
        <v>118</v>
      </c>
    </row>
    <row r="2" spans="1:1">
      <c r="A2" s="2" t="s">
        <v>119</v>
      </c>
    </row>
    <row r="3" spans="1:1">
      <c r="A3" s="2" t="s">
        <v>120</v>
      </c>
    </row>
    <row r="4" spans="1:1">
      <c r="A4" s="2" t="s">
        <v>121</v>
      </c>
    </row>
    <row r="5" spans="1:1">
      <c r="A5" s="2" t="s">
        <v>122</v>
      </c>
    </row>
    <row r="6" spans="1:1">
      <c r="A6" s="2" t="s">
        <v>123</v>
      </c>
    </row>
    <row r="7" spans="1:1">
      <c r="A7" s="2" t="s">
        <v>124</v>
      </c>
    </row>
    <row r="8" spans="1:1">
      <c r="A8" s="2" t="s">
        <v>125</v>
      </c>
    </row>
    <row r="9" spans="1:1">
      <c r="A9" s="2" t="s">
        <v>126</v>
      </c>
    </row>
    <row r="10" spans="1:1">
      <c r="A10" s="2" t="s">
        <v>127</v>
      </c>
    </row>
    <row r="11" spans="1:1">
      <c r="A11" s="2" t="s">
        <v>128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8</vt:i4>
      </vt:variant>
    </vt:vector>
  </HeadingPairs>
  <TitlesOfParts>
    <vt:vector size="8" baseType="lpstr">
      <vt:lpstr>لوحة التحكم</vt:lpstr>
      <vt:lpstr>العقود</vt:lpstr>
      <vt:lpstr>الشركات</vt:lpstr>
      <vt:lpstr>التمديدات</vt:lpstr>
      <vt:lpstr>المراسلات</vt:lpstr>
      <vt:lpstr>بطاقة العقد</vt:lpstr>
      <vt:lpstr>القوائم والإعدادات</vt:lpstr>
      <vt:lpstr>تعليمات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Hiba Ali Daass</cp:lastModifiedBy>
  <cp:revision>0</cp:revision>
  <dcterms:created xsi:type="dcterms:W3CDTF">2026-10-11T16:21:48Z</dcterms:created>
  <dcterms:modified xsi:type="dcterms:W3CDTF">2026-10-13T09:17:28Z</dcterms:modified>
  <dc:language>en-US</dc:language>
</cp:coreProperties>
</file>